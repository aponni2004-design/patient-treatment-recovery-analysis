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f36677541cc6500d/Documents/"/>
    </mc:Choice>
  </mc:AlternateContent>
  <xr:revisionPtr revIDLastSave="1216" documentId="8_{668F547C-B25B-409F-BF47-F62A98A09E2E}" xr6:coauthVersionLast="47" xr6:coauthVersionMax="47" xr10:uidLastSave="{771539EF-FFD7-4CFB-A31E-4B2EB03CD24E}"/>
  <bookViews>
    <workbookView xWindow="-120" yWindow="-120" windowWidth="20730" windowHeight="11040" firstSheet="4" activeTab="4" xr2:uid="{7642C395-2A73-4E06-9C96-799FC369EE9F}"/>
  </bookViews>
  <sheets>
    <sheet name="Detail1" sheetId="4" r:id="rId1"/>
    <sheet name="Detail2" sheetId="5" r:id="rId2"/>
    <sheet name="Detail3" sheetId="8" r:id="rId3"/>
    <sheet name="pivot_table" sheetId="2" r:id="rId4"/>
    <sheet name="dashboard" sheetId="3" r:id="rId5"/>
    <sheet name="hospital_patient_treatment_data" sheetId="1" r:id="rId6"/>
  </sheets>
  <definedNames>
    <definedName name="_xlnm._FilterDatabase" localSheetId="5" hidden="1">hospital_patient_treatment_data!$A$1:$I$201</definedName>
    <definedName name="_xlchart.v1.2" hidden="1">pivot_table!$C$36:$C$43</definedName>
    <definedName name="_xlchart.v1.3" hidden="1">pivot_table!$D$36:$D$43</definedName>
    <definedName name="_xlchart.v2.0" hidden="1">pivot_table!$C$24:$C$27</definedName>
    <definedName name="_xlchart.v2.1" hidden="1">pivot_table!$D$24:$D$27</definedName>
    <definedName name="Slicer_Department">#N/A</definedName>
    <definedName name="Slicer_Doctor_Name">#N/A</definedName>
    <definedName name="Slicer_Gender">#N/A</definedName>
    <definedName name="Slicer_Treatment_Typ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1" i="1" l="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<sst xmlns="http://schemas.openxmlformats.org/spreadsheetml/2006/main" count="2853" uniqueCount="253">
  <si>
    <t>Patient ID</t>
  </si>
  <si>
    <t>Department</t>
  </si>
  <si>
    <t>Treatment Type</t>
  </si>
  <si>
    <t>Doctor Name</t>
  </si>
  <si>
    <t>Gender</t>
  </si>
  <si>
    <t>Age</t>
  </si>
  <si>
    <t>Treatment Cost</t>
  </si>
  <si>
    <t>Hospital Stay (Days)</t>
  </si>
  <si>
    <t>Recovery Score</t>
  </si>
  <si>
    <t>P1001</t>
  </si>
  <si>
    <t>Gastroenterology</t>
  </si>
  <si>
    <t>Therapy</t>
  </si>
  <si>
    <t>Dr. L. Khan</t>
  </si>
  <si>
    <t>Female</t>
  </si>
  <si>
    <t>P1002</t>
  </si>
  <si>
    <t>Pediatrics</t>
  </si>
  <si>
    <t>Medication</t>
  </si>
  <si>
    <t>Dr. M. Patel</t>
  </si>
  <si>
    <t>Male</t>
  </si>
  <si>
    <t>P1003</t>
  </si>
  <si>
    <t>P1004</t>
  </si>
  <si>
    <t>P1005</t>
  </si>
  <si>
    <t>Orthopedics</t>
  </si>
  <si>
    <t>Dr. T. Mehta</t>
  </si>
  <si>
    <t>P1006</t>
  </si>
  <si>
    <t>Cardiology</t>
  </si>
  <si>
    <t>Dr. A. Sharma</t>
  </si>
  <si>
    <t>P1007</t>
  </si>
  <si>
    <t>Observation</t>
  </si>
  <si>
    <t>Other</t>
  </si>
  <si>
    <t>P1008</t>
  </si>
  <si>
    <t>Neurology</t>
  </si>
  <si>
    <t>Dr. R. Singh</t>
  </si>
  <si>
    <t>P1009</t>
  </si>
  <si>
    <t>P1010</t>
  </si>
  <si>
    <t>P1011</t>
  </si>
  <si>
    <t>Oncology</t>
  </si>
  <si>
    <t>P1012</t>
  </si>
  <si>
    <t>P1013</t>
  </si>
  <si>
    <t>P1014</t>
  </si>
  <si>
    <t>P1015</t>
  </si>
  <si>
    <t>Surgery</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</si>
  <si>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</si>
  <si>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</si>
  <si>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</si>
  <si>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</si>
  <si>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</si>
  <si>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</si>
  <si>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</si>
  <si>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</si>
  <si>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</si>
  <si>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</si>
  <si>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</si>
  <si>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</si>
  <si>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</si>
  <si>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</si>
  <si>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</si>
  <si>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</si>
  <si>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</si>
  <si>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</si>
  <si>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</si>
  <si>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</si>
  <si>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</si>
  <si>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</si>
  <si>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</si>
  <si>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</si>
  <si>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</si>
  <si>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</si>
  <si>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</si>
  <si>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</si>
  <si>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</si>
  <si>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</si>
  <si>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</si>
  <si>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</si>
  <si>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</si>
  <si>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</si>
  <si>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</si>
  <si>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</si>
  <si>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</si>
  <si>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</si>
  <si>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</si>
  <si>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</si>
  <si>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</si>
  <si>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</si>
  <si>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</si>
  <si>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</si>
  <si>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</si>
  <si>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</si>
  <si>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</si>
  <si>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</si>
  <si>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</si>
  <si>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</si>
  <si>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</si>
  <si>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</si>
  <si>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</si>
  <si>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</si>
  <si>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</si>
  <si>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</si>
  <si>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</si>
  <si>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</si>
  <si>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</si>
  <si>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</si>
  <si>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</si>
  <si>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</si>
  <si>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</si>
  <si>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</si>
  <si>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</si>
  <si>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</si>
  <si>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</si>
  <si>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</si>
  <si>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</si>
  <si>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</si>
  <si>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</si>
  <si>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</si>
  <si>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</si>
  <si>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</si>
  <si>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</si>
  <si>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</si>
  <si>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</si>
  <si>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</si>
  <si>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</si>
  <si>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</si>
  <si>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</si>
  <si>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</si>
  <si>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</si>
  <si>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</si>
  <si>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</si>
  <si>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</si>
  <si>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</si>
  <si>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</si>
  <si>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</si>
  <si>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</si>
  <si>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</si>
  <si>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</si>
  <si>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</si>
  <si>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</si>
  <si>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</si>
  <si>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</si>
  <si>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</si>
  <si>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</si>
  <si>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</si>
  <si>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</si>
  <si>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</si>
  <si>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</si>
  <si>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</si>
  <si>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</si>
  <si>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</si>
  <si>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</si>
  <si>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</si>
  <si>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</si>
  <si>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</si>
  <si>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</si>
  <si>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</si>
  <si>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</si>
  <si>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</si>
  <si>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</si>
  <si>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</si>
  <si>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</si>
  <si>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</si>
  <si>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</si>
  <si>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</si>
  <si>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</si>
  <si>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</si>
  <si>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</si>
  <si>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</si>
  <si>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</si>
  <si>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</si>
  <si>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</si>
  <si>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</si>
  <si>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</si>
  <si>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</si>
  <si>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</si>
  <si>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</si>
  <si>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</si>
  <si>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</si>
  <si>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</si>
  <si>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</si>
  <si>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</si>
  <si>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</si>
  <si>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</si>
  <si>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</si>
  <si>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</si>
  <si>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</si>
  <si>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</si>
  <si>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</si>
  <si>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</si>
  <si>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</si>
  <si>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</si>
  <si>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</si>
  <si>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</si>
  <si>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</si>
  <si>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</si>
  <si>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</si>
  <si>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</si>
  <si>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</si>
  <si>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</si>
  <si>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</si>
  <si>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</si>
  <si>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</si>
  <si>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</si>
  <si>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</si>
  <si>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</si>
  <si>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</si>
  <si>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</si>
  <si>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</si>
  <si>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</si>
  <si>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</si>
  <si>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</si>
  <si>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</si>
  <si>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</si>
  <si>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</si>
  <si>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</si>
  <si>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</si>
  <si>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</si>
  <si>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</si>
  <si>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</si>
  <si>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</si>
  <si>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</si>
  <si>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</si>
  <si>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</si>
  <si>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</si>
  <si>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</si>
  <si>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</si>
  <si>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</si>
  <si>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</si>
  <si>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</si>
  <si>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</si>
  <si>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Paitents count</t>
  </si>
  <si>
    <t>Average of Treatment Cost</t>
  </si>
  <si>
    <t>Average of Age</t>
  </si>
  <si>
    <t>Average of Hospital Stay (Days)</t>
  </si>
  <si>
    <t>Average of Recovery Score</t>
  </si>
  <si>
    <t>Row Labels</t>
  </si>
  <si>
    <t>Grand Total</t>
  </si>
  <si>
    <t>Min Recovery Score</t>
  </si>
  <si>
    <t>StdDev Recovery Score</t>
  </si>
  <si>
    <t>Avg Recovery Score</t>
  </si>
  <si>
    <t>Details for Avg Recovery Score - Treatment Type: Therapy</t>
  </si>
  <si>
    <t>Column1</t>
  </si>
  <si>
    <t>high cost</t>
  </si>
  <si>
    <t>Low Cost</t>
  </si>
  <si>
    <t>Details for Avg Recovery Score - Treatment Type: Surgery</t>
  </si>
  <si>
    <t>Adult</t>
  </si>
  <si>
    <t>Child</t>
  </si>
  <si>
    <t>Elderly</t>
  </si>
  <si>
    <t>Infant / Toddler</t>
  </si>
  <si>
    <t>Middle-aged</t>
  </si>
  <si>
    <t>Senior</t>
  </si>
  <si>
    <t>Teenager</t>
  </si>
  <si>
    <t>Young Adult</t>
  </si>
  <si>
    <t>Age treatment</t>
  </si>
  <si>
    <t>Details for Avg Recovery Score</t>
  </si>
  <si>
    <t>Cost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</si>
</sst>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 fontId="0" fillId="0" borderId="0" xfId="0" applyNumberFormat="1"/>
    <xf numFmtId="0" fontId="0" fillId="0" borderId="0" xfId="0" pivotButton="1"/>
    <xf numFmtId="0" fontId="0" fillId="0" borderId="0" xfId="0" applyAlignment="1">
      <alignment horizontal="left"/>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0" formatCode="General"/>
    </dxf>
    <dxf>
      <numFmt numFmtId="0" formatCode="General"/>
    </dxf>
    <dxf>
      <font>
        <b/>
        <color theme="1"/>
      </font>
      <fill>
        <patternFill>
          <fgColor rgb="FF1C544A"/>
        </patternFill>
      </fill>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i val="0"/>
        <sz val="11"/>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s>
  <tableStyles count="3" defaultTableStyle="TableStyleMedium2" defaultPivotStyle="PivotStyleLight16">
    <tableStyle name="SlidescopeSlicerStyleDark6 2" pivot="0" table="0" count="10" xr9:uid="{ECA52882-C1DF-4D68-915F-4F9F41A7FCFB}">
      <tableStyleElement type="wholeTable" dxfId="8"/>
      <tableStyleElement type="headerRow" dxfId="7"/>
    </tableStyle>
    <tableStyle name="SlidescopeSlicerStyleDark6 2 2" pivot="0" table="0" count="10" xr9:uid="{D103E48B-33F9-4AB5-B1DE-9FC9FE83B536}">
      <tableStyleElement type="wholeTable" dxfId="6"/>
      <tableStyleElement type="headerRow" dxfId="5"/>
    </tableStyle>
    <tableStyle name="SlidescopeSlicerStyleDark6 2 3" pivot="0" table="0" count="10" xr9:uid="{B964AC03-0A9A-4677-BAF0-147226A88080}">
      <tableStyleElement type="wholeTable" dxfId="4"/>
      <tableStyleElement type="headerRow" dxfId="3"/>
    </tableStyle>
  </tableStyles>
  <colors>
    <mruColors>
      <color rgb="FF061808"/>
      <color rgb="FF081A17"/>
      <color rgb="FF1C544A"/>
      <color rgb="FF35A18C"/>
      <color rgb="FF297B6B"/>
      <color rgb="FF72D0BE"/>
      <color rgb="FF2D8776"/>
      <color rgb="FFA3E1D5"/>
      <color rgb="FF3AB09A"/>
      <color rgb="FF192C54"/>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rgb="FF1C544A"/>
              <bgColor rgb="FFA3E1D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rgb="FF1C544A"/>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rgb="FF1C544A"/>
              <bgColor rgb="FF72D0BE"/>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rgb="FF1C544A"/>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rgb="FF1C544A"/>
              <bgColor rgb="FFA3E1D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rgb="FF1C544A"/>
              <bgColor rgb="FF1C544A"/>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descopeSlicerStyleDark6 2">
        <x14:slicerStyle name="SlidescopeSlicerStyleDark6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descopeSlicerStyleDark6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descopeSlicerStyleDark6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[hospital_patient_treatment_dataset.csv.xlsx]pivot_table!PivotTable2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a:solidFill>
                  <a:srgbClr val="061808"/>
                </a:solidFill>
                <a:latin typeface="Calibri" panose="020F0502020204030204" pitchFamily="34" charset="0"/>
                <a:ea typeface="Calibri" panose="020F0502020204030204" pitchFamily="34" charset="0"/>
                <a:cs typeface="Calibri" panose="020F0502020204030204" pitchFamily="34" charset="0"/>
              </a:rPr>
              <a:t>Department</a:t>
            </a:r>
            <a:r>
              <a:rPr lang="en-IN" sz="1600" b="0" baseline="0">
                <a:solidFill>
                  <a:srgbClr val="061808"/>
                </a:solidFill>
                <a:latin typeface="Calibri" panose="020F0502020204030204" pitchFamily="34" charset="0"/>
                <a:ea typeface="Calibri" panose="020F0502020204030204" pitchFamily="34" charset="0"/>
                <a:cs typeface="Calibri" panose="020F0502020204030204" pitchFamily="34" charset="0"/>
              </a:rPr>
              <a:t> Performance</a:t>
            </a:r>
            <a:endParaRPr lang="en-IN" sz="1600" b="0">
              <a:solidFill>
                <a:srgbClr val="061808"/>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7826006863996077"/>
          <c:y val="2.3103544629499189E-2"/>
        </c:manualLayout>
      </c:layout>
      <c:overlay val="0"/>
      <c:spPr>
        <a:noFill/>
        <a:ln>
          <a:noFill/>
        </a:ln>
        <a:effectLst/>
      </c:sp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35A18C"/>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0"/>
        <c:spPr>
          <a:solidFill>
            <a:srgbClr val="35A18C"/>
          </a:solidFill>
          <a:ln>
            <a:noFill/>
          </a:ln>
          <a:effectLst/>
          <a:sp3d/>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3"/>
        <c:spPr>
          <a:solidFill>
            <a:srgbClr val="35A18C"/>
          </a:solidFill>
          <a:ln>
            <a:noFill/>
          </a:ln>
          <a:effectLst/>
          <a:sp3d/>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6"/>
        <c:spPr>
          <a:solidFill>
            <a:srgbClr val="35A18C"/>
          </a:solidFill>
          <a:ln>
            <a:noFill/>
          </a:ln>
          <a:effectLst/>
          <a:sp3d/>
        </c:spPr>
        <c:marker>
          <c:symbol val="none"/>
        </c:marker>
        <c:dLbl>
          <c:idx val="0"/>
          <c:delete val="1"/>
          <c:extLst>
            <c:ext xmlns:c15="http://schemas.microsoft.com/office/drawing/2012/chart" uri="{CE6537A1-D6FC-4f65-9D91-7224C49458BB}"/>
          </c:extLst>
        </c:dLbl>
      </c:pivotFmt>
      <c:pivotFmt>
        <c:idx val="17"/>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303149606299212E-2"/>
          <c:y val="0.14249781277340332"/>
          <c:w val="0.85852088752056899"/>
          <c:h val="0.47094451735199766"/>
        </c:manualLayout>
      </c:layout>
      <c:bar3DChart>
        <c:barDir val="col"/>
        <c:grouping val="clustered"/>
        <c:varyColors val="0"/>
        <c:ser>
          <c:idx val="0"/>
          <c:order val="0"/>
          <c:tx>
            <c:strRef>
              <c:f>pivot_table!$B$7</c:f>
              <c:strCache>
                <c:ptCount val="1"/>
                <c:pt idx="0">
                  <c:v>Avg Recovery Score</c:v>
                </c:pt>
              </c:strCache>
            </c:strRef>
          </c:tx>
          <c:spPr>
            <a:solidFill>
              <a:schemeClr val="accent1"/>
            </a:solidFill>
            <a:ln>
              <a:noFill/>
            </a:ln>
            <a:effectLst/>
            <a:sp3d/>
          </c:spPr>
          <c:invertIfNegative val="0"/>
          <c:cat>
            <c:strRef>
              <c:f>pivot_table!$A$8:$A$14</c:f>
              <c:strCache>
                <c:ptCount val="6"/>
                <c:pt idx="0">
                  <c:v>Cardiology</c:v>
                </c:pt>
                <c:pt idx="1">
                  <c:v>Gastroenterology</c:v>
                </c:pt>
                <c:pt idx="2">
                  <c:v>Neurology</c:v>
                </c:pt>
                <c:pt idx="3">
                  <c:v>Oncology</c:v>
                </c:pt>
                <c:pt idx="4">
                  <c:v>Orthopedics</c:v>
                </c:pt>
                <c:pt idx="5">
                  <c:v>Pediatrics</c:v>
                </c:pt>
              </c:strCache>
            </c:strRef>
          </c:cat>
          <c:val>
            <c:numRef>
              <c:f>pivot_table!$B$8:$B$14</c:f>
              <c:numCache>
                <c:formatCode>0.00</c:formatCode>
                <c:ptCount val="6"/>
                <c:pt idx="0">
                  <c:v>70.5</c:v>
                </c:pt>
                <c:pt idx="1">
                  <c:v>71.804878048780495</c:v>
                </c:pt>
                <c:pt idx="2">
                  <c:v>66.392857142857139</c:v>
                </c:pt>
                <c:pt idx="3">
                  <c:v>72.41935483870968</c:v>
                </c:pt>
                <c:pt idx="4">
                  <c:v>67.263157894736835</c:v>
                </c:pt>
                <c:pt idx="5">
                  <c:v>73.131578947368425</c:v>
                </c:pt>
              </c:numCache>
            </c:numRef>
          </c:val>
          <c:extLst>
            <c:ext xmlns:c16="http://schemas.microsoft.com/office/drawing/2014/chart" uri="{C3380CC4-5D6E-409C-BE32-E72D297353CC}">
              <c16:uniqueId val="{00000002-5D68-47CD-A630-75A4D21B8BFA}"/>
            </c:ext>
          </c:extLst>
        </c:ser>
        <c:ser>
          <c:idx val="1"/>
          <c:order val="1"/>
          <c:tx>
            <c:strRef>
              <c:f>pivot_table!$C$7</c:f>
              <c:strCache>
                <c:ptCount val="1"/>
                <c:pt idx="0">
                  <c:v>Min Recovery Score</c:v>
                </c:pt>
              </c:strCache>
            </c:strRef>
          </c:tx>
          <c:spPr>
            <a:solidFill>
              <a:srgbClr val="35A18C"/>
            </a:solidFill>
            <a:ln>
              <a:noFill/>
            </a:ln>
            <a:effectLst/>
            <a:sp3d/>
          </c:spPr>
          <c:invertIfNegative val="0"/>
          <c:cat>
            <c:strRef>
              <c:f>pivot_table!$A$8:$A$14</c:f>
              <c:strCache>
                <c:ptCount val="6"/>
                <c:pt idx="0">
                  <c:v>Cardiology</c:v>
                </c:pt>
                <c:pt idx="1">
                  <c:v>Gastroenterology</c:v>
                </c:pt>
                <c:pt idx="2">
                  <c:v>Neurology</c:v>
                </c:pt>
                <c:pt idx="3">
                  <c:v>Oncology</c:v>
                </c:pt>
                <c:pt idx="4">
                  <c:v>Orthopedics</c:v>
                </c:pt>
                <c:pt idx="5">
                  <c:v>Pediatrics</c:v>
                </c:pt>
              </c:strCache>
            </c:strRef>
          </c:cat>
          <c:val>
            <c:numRef>
              <c:f>pivot_table!$C$8:$C$14</c:f>
              <c:numCache>
                <c:formatCode>0.00</c:formatCode>
                <c:ptCount val="6"/>
                <c:pt idx="0">
                  <c:v>41</c:v>
                </c:pt>
                <c:pt idx="1">
                  <c:v>40</c:v>
                </c:pt>
                <c:pt idx="2">
                  <c:v>40</c:v>
                </c:pt>
                <c:pt idx="3">
                  <c:v>41</c:v>
                </c:pt>
                <c:pt idx="4">
                  <c:v>40</c:v>
                </c:pt>
                <c:pt idx="5">
                  <c:v>42</c:v>
                </c:pt>
              </c:numCache>
            </c:numRef>
          </c:val>
          <c:extLst>
            <c:ext xmlns:c16="http://schemas.microsoft.com/office/drawing/2014/chart" uri="{C3380CC4-5D6E-409C-BE32-E72D297353CC}">
              <c16:uniqueId val="{00000004-5D68-47CD-A630-75A4D21B8BFA}"/>
            </c:ext>
          </c:extLst>
        </c:ser>
        <c:ser>
          <c:idx val="2"/>
          <c:order val="2"/>
          <c:tx>
            <c:strRef>
              <c:f>pivot_table!$D$7</c:f>
              <c:strCache>
                <c:ptCount val="1"/>
                <c:pt idx="0">
                  <c:v>StdDev Recovery Score</c:v>
                </c:pt>
              </c:strCache>
            </c:strRef>
          </c:tx>
          <c:spPr>
            <a:solidFill>
              <a:schemeClr val="accent3"/>
            </a:solidFill>
            <a:ln>
              <a:noFill/>
            </a:ln>
            <a:effectLst/>
            <a:sp3d/>
          </c:spPr>
          <c:invertIfNegative val="0"/>
          <c:cat>
            <c:strRef>
              <c:f>pivot_table!$A$8:$A$14</c:f>
              <c:strCache>
                <c:ptCount val="6"/>
                <c:pt idx="0">
                  <c:v>Cardiology</c:v>
                </c:pt>
                <c:pt idx="1">
                  <c:v>Gastroenterology</c:v>
                </c:pt>
                <c:pt idx="2">
                  <c:v>Neurology</c:v>
                </c:pt>
                <c:pt idx="3">
                  <c:v>Oncology</c:v>
                </c:pt>
                <c:pt idx="4">
                  <c:v>Orthopedics</c:v>
                </c:pt>
                <c:pt idx="5">
                  <c:v>Pediatrics</c:v>
                </c:pt>
              </c:strCache>
            </c:strRef>
          </c:cat>
          <c:val>
            <c:numRef>
              <c:f>pivot_table!$D$8:$D$14</c:f>
              <c:numCache>
                <c:formatCode>0.00</c:formatCode>
                <c:ptCount val="6"/>
                <c:pt idx="0">
                  <c:v>19.571496576932219</c:v>
                </c:pt>
                <c:pt idx="1">
                  <c:v>16.895590419093264</c:v>
                </c:pt>
                <c:pt idx="2">
                  <c:v>19.085265376655212</c:v>
                </c:pt>
                <c:pt idx="3">
                  <c:v>17.819042610923095</c:v>
                </c:pt>
                <c:pt idx="4">
                  <c:v>16.439379567641545</c:v>
                </c:pt>
                <c:pt idx="5">
                  <c:v>17.727930402572756</c:v>
                </c:pt>
              </c:numCache>
            </c:numRef>
          </c:val>
          <c:extLst>
            <c:ext xmlns:c16="http://schemas.microsoft.com/office/drawing/2014/chart" uri="{C3380CC4-5D6E-409C-BE32-E72D297353CC}">
              <c16:uniqueId val="{00000006-5D68-47CD-A630-75A4D21B8BFA}"/>
            </c:ext>
          </c:extLst>
        </c:ser>
        <c:dLbls>
          <c:showLegendKey val="0"/>
          <c:showVal val="0"/>
          <c:showCatName val="0"/>
          <c:showSerName val="0"/>
          <c:showPercent val="0"/>
          <c:showBubbleSize val="0"/>
        </c:dLbls>
        <c:gapWidth val="150"/>
        <c:shape val="box"/>
        <c:axId val="962715983"/>
        <c:axId val="962716943"/>
        <c:axId val="0"/>
      </c:bar3DChart>
      <c:catAx>
        <c:axId val="9627159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62716943"/>
        <c:crosses val="autoZero"/>
        <c:auto val="1"/>
        <c:lblAlgn val="ctr"/>
        <c:lblOffset val="100"/>
        <c:noMultiLvlLbl val="0"/>
      </c:catAx>
      <c:valAx>
        <c:axId val="96271694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62715983"/>
        <c:crosses val="autoZero"/>
        <c:crossBetween val="between"/>
      </c:valAx>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889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[hospital_patient_treatment_dataset.csv.xlsx]pivot_table!PivotTable3</c:name>
    <c:fmtId val="9"/>
  </c:pivotSource>
  <c:chart>
    <c:title>
      <c:tx>
        <c:rich>
          <a:bodyPr rot="0" spcFirstLastPara="1" vertOverflow="ellipsis" vert="horz" wrap="square" anchor="ctr" anchorCtr="1"/>
          <a:lstStyle/>
          <a:p>
            <a:pPr marL="0" marR="0" lvl="0" indent="0" algn="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u="none" strike="noStrike" baseline="0">
                <a:solidFill>
                  <a:srgbClr val="061808"/>
                </a:solidFill>
                <a:latin typeface="Aptos Narrow" panose="02110004020202020204"/>
              </a:rPr>
              <a:t>Avg Recovery Score By Doctors</a:t>
            </a:r>
          </a:p>
          <a:p>
            <a:pPr marL="0" marR="0" lvl="0" indent="0" algn="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sz="1800"/>
          </a:p>
        </c:rich>
      </c:tx>
      <c:layout>
        <c:manualLayout>
          <c:xMode val="edge"/>
          <c:yMode val="edge"/>
          <c:x val="0.1995070797297126"/>
          <c:y val="3.2433205473294958E-2"/>
        </c:manualLayout>
      </c:layout>
      <c:overlay val="0"/>
      <c:spPr>
        <a:noFill/>
        <a:ln>
          <a:noFill/>
        </a:ln>
        <a:effectLst/>
      </c:spPr>
      <c:txPr>
        <a:bodyPr rot="0" spcFirstLastPara="1" vertOverflow="ellipsis" vert="horz" wrap="square" anchor="ctr" anchorCtr="1"/>
        <a:lstStyle/>
        <a:p>
          <a:pPr marL="0" marR="0" lvl="0" indent="0" algn="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1C544A"/>
          </a:solidFill>
          <a:ln>
            <a:noFill/>
          </a:ln>
          <a:effectLst>
            <a:outerShdw blurRad="50800" dist="38100" dir="5400000" algn="t" rotWithShape="0">
              <a:prstClr val="black">
                <a:alpha val="40000"/>
              </a:prst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1C544A"/>
          </a:solidFill>
          <a:ln>
            <a:noFill/>
          </a:ln>
          <a:effectLst>
            <a:outerShdw blurRad="50800" dist="38100" dir="5400000" algn="t" rotWithShape="0">
              <a:prstClr val="black">
                <a:alpha val="40000"/>
              </a:prst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1C544A"/>
          </a:solidFill>
          <a:ln>
            <a:noFill/>
          </a:ln>
          <a:effectLst>
            <a:outerShdw blurRad="50800" dist="38100" dir="5400000" algn="t"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61312749183303"/>
          <c:y val="0.14249781277340332"/>
          <c:w val="0.65137246982652486"/>
          <c:h val="0.75047317002041414"/>
        </c:manualLayout>
      </c:layout>
      <c:bar3DChart>
        <c:barDir val="bar"/>
        <c:grouping val="clustered"/>
        <c:varyColors val="0"/>
        <c:ser>
          <c:idx val="0"/>
          <c:order val="0"/>
          <c:tx>
            <c:strRef>
              <c:f>pivot_table!$B$17</c:f>
              <c:strCache>
                <c:ptCount val="1"/>
                <c:pt idx="0">
                  <c:v>Total</c:v>
                </c:pt>
              </c:strCache>
            </c:strRef>
          </c:tx>
          <c:spPr>
            <a:solidFill>
              <a:srgbClr val="1C544A"/>
            </a:solidFill>
            <a:ln>
              <a:noFill/>
            </a:ln>
            <a:effectLst>
              <a:outerShdw blurRad="50800" dist="38100" dir="5400000" algn="t"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pivot_table!$A$18:$A$23</c:f>
              <c:strCache>
                <c:ptCount val="5"/>
                <c:pt idx="0">
                  <c:v>Dr. T. Mehta</c:v>
                </c:pt>
                <c:pt idx="1">
                  <c:v>Dr. R. Singh</c:v>
                </c:pt>
                <c:pt idx="2">
                  <c:v>Dr. M. Patel</c:v>
                </c:pt>
                <c:pt idx="3">
                  <c:v>Dr. L. Khan</c:v>
                </c:pt>
                <c:pt idx="4">
                  <c:v>Dr. A. Sharma</c:v>
                </c:pt>
              </c:strCache>
            </c:strRef>
          </c:cat>
          <c:val>
            <c:numRef>
              <c:f>pivot_table!$B$18:$B$23</c:f>
              <c:numCache>
                <c:formatCode>0.00</c:formatCode>
                <c:ptCount val="5"/>
                <c:pt idx="0">
                  <c:v>67.921052631578945</c:v>
                </c:pt>
                <c:pt idx="1">
                  <c:v>67.75555555555556</c:v>
                </c:pt>
                <c:pt idx="2">
                  <c:v>73.243902439024396</c:v>
                </c:pt>
                <c:pt idx="3">
                  <c:v>72.521739130434781</c:v>
                </c:pt>
                <c:pt idx="4">
                  <c:v>70.2</c:v>
                </c:pt>
              </c:numCache>
            </c:numRef>
          </c:val>
          <c:extLst>
            <c:ext xmlns:c16="http://schemas.microsoft.com/office/drawing/2014/chart" uri="{C3380CC4-5D6E-409C-BE32-E72D297353CC}">
              <c16:uniqueId val="{00000000-D067-4D90-9AD5-9FAEE0C5051E}"/>
            </c:ext>
          </c:extLst>
        </c:ser>
        <c:dLbls>
          <c:showLegendKey val="0"/>
          <c:showVal val="1"/>
          <c:showCatName val="0"/>
          <c:showSerName val="0"/>
          <c:showPercent val="0"/>
          <c:showBubbleSize val="0"/>
        </c:dLbls>
        <c:gapWidth val="150"/>
        <c:shape val="box"/>
        <c:axId val="897088735"/>
        <c:axId val="897087775"/>
        <c:axId val="0"/>
      </c:bar3DChart>
      <c:catAx>
        <c:axId val="897088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97087775"/>
        <c:crosses val="autoZero"/>
        <c:auto val="1"/>
        <c:lblAlgn val="ctr"/>
        <c:lblOffset val="100"/>
        <c:noMultiLvlLbl val="0"/>
      </c:catAx>
      <c:valAx>
        <c:axId val="89708777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77800" dist="1143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[hospital_patient_treatment_dataset.csv.xlsx]pivot_table!PivotTable11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a:solidFill>
                  <a:srgbClr val="061808"/>
                </a:solidFill>
              </a:rPr>
              <a:t>Paitent</a:t>
            </a:r>
            <a:r>
              <a:rPr lang="en-IN" sz="1600" b="0" baseline="0">
                <a:solidFill>
                  <a:srgbClr val="061808"/>
                </a:solidFill>
              </a:rPr>
              <a:t> Segmentation (by cost)</a:t>
            </a:r>
            <a:endParaRPr lang="en-IN" sz="1600" b="0">
              <a:solidFill>
                <a:srgbClr val="061808"/>
              </a:solidFill>
            </a:endParaRPr>
          </a:p>
        </c:rich>
      </c:tx>
      <c:layout>
        <c:manualLayout>
          <c:xMode val="edge"/>
          <c:yMode val="edge"/>
          <c:x val="0.20129443191719548"/>
          <c:y val="5.58979693338751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a:outerShdw blurRad="190500" dist="1143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544A"/>
          </a:solidFill>
          <a:ln w="19050">
            <a:solidFill>
              <a:schemeClr val="lt1"/>
            </a:solidFill>
          </a:ln>
          <a:effectLst>
            <a:outerShdw blurRad="190500" dist="114300" dir="2700000" algn="tl" rotWithShape="0">
              <a:prstClr val="black">
                <a:alpha val="40000"/>
              </a:prstClr>
            </a:outerShdw>
          </a:effectLst>
        </c:spPr>
      </c:pivotFmt>
      <c:pivotFmt>
        <c:idx val="2"/>
        <c:spPr>
          <a:solidFill>
            <a:srgbClr val="72D0BE"/>
          </a:solidFill>
          <a:ln w="19050">
            <a:solidFill>
              <a:schemeClr val="lt1"/>
            </a:solidFill>
          </a:ln>
          <a:effectLst>
            <a:outerShdw blurRad="190500" dist="114300" dir="2700000" algn="tl" rotWithShape="0">
              <a:prstClr val="black">
                <a:alpha val="40000"/>
              </a:prstClr>
            </a:outerShdw>
          </a:effectLst>
        </c:spPr>
      </c:pivotFmt>
      <c:pivotFmt>
        <c:idx val="3"/>
        <c:spPr>
          <a:solidFill>
            <a:schemeClr val="accent1"/>
          </a:solidFill>
          <a:ln w="19050">
            <a:solidFill>
              <a:schemeClr val="lt1"/>
            </a:solidFill>
          </a:ln>
          <a:effectLst>
            <a:outerShdw blurRad="190500" dist="1143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C544A"/>
          </a:solidFill>
          <a:ln w="19050">
            <a:solidFill>
              <a:schemeClr val="lt1"/>
            </a:solidFill>
          </a:ln>
          <a:effectLst>
            <a:outerShdw blurRad="190500" dist="114300" dir="2700000" algn="tl" rotWithShape="0">
              <a:prstClr val="black">
                <a:alpha val="40000"/>
              </a:prstClr>
            </a:outerShdw>
          </a:effectLst>
        </c:spPr>
      </c:pivotFmt>
      <c:pivotFmt>
        <c:idx val="5"/>
        <c:spPr>
          <a:solidFill>
            <a:srgbClr val="72D0BE"/>
          </a:solidFill>
          <a:ln w="19050">
            <a:solidFill>
              <a:schemeClr val="lt1"/>
            </a:solidFill>
          </a:ln>
          <a:effectLst>
            <a:outerShdw blurRad="190500" dist="114300" dir="2700000" algn="tl" rotWithShape="0">
              <a:prstClr val="black">
                <a:alpha val="40000"/>
              </a:prstClr>
            </a:outerShdw>
          </a:effectLst>
        </c:spPr>
      </c:pivotFmt>
      <c:pivotFmt>
        <c:idx val="6"/>
        <c:spPr>
          <a:solidFill>
            <a:schemeClr val="accent1"/>
          </a:solidFill>
          <a:ln w="19050">
            <a:solidFill>
              <a:schemeClr val="lt1"/>
            </a:solidFill>
          </a:ln>
          <a:effectLst>
            <a:outerShdw blurRad="190500" dist="1143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C544A"/>
          </a:solidFill>
          <a:ln w="19050">
            <a:solidFill>
              <a:schemeClr val="lt1"/>
            </a:solidFill>
          </a:ln>
          <a:effectLst>
            <a:outerShdw blurRad="190500" dist="114300" dir="2700000" algn="tl" rotWithShape="0">
              <a:prstClr val="black">
                <a:alpha val="40000"/>
              </a:prstClr>
            </a:outerShdw>
          </a:effectLst>
        </c:spPr>
      </c:pivotFmt>
      <c:pivotFmt>
        <c:idx val="8"/>
        <c:spPr>
          <a:solidFill>
            <a:srgbClr val="72D0BE"/>
          </a:solidFill>
          <a:ln w="19050">
            <a:solidFill>
              <a:schemeClr val="lt1"/>
            </a:solidFill>
          </a:ln>
          <a:effectLst>
            <a:outerShdw blurRad="190500" dist="114300" dir="2700000" algn="tl" rotWithShape="0">
              <a:prstClr val="black">
                <a:alpha val="40000"/>
              </a:prstClr>
            </a:outerShdw>
          </a:effectLst>
        </c:spPr>
      </c:pivotFmt>
      <c:pivotFmt>
        <c:idx val="9"/>
        <c:spPr>
          <a:solidFill>
            <a:srgbClr val="1C544A"/>
          </a:solidFill>
          <a:ln w="19050">
            <a:solidFill>
              <a:schemeClr val="lt1"/>
            </a:solidFill>
          </a:ln>
          <a:effectLst>
            <a:outerShdw blurRad="190500" dist="114300" dir="2700000" algn="tl" rotWithShape="0">
              <a:prstClr val="black">
                <a:alpha val="40000"/>
              </a:prstClr>
            </a:outerShdw>
          </a:effectLst>
        </c:spPr>
      </c:pivotFmt>
      <c:pivotFmt>
        <c:idx val="10"/>
        <c:spPr>
          <a:solidFill>
            <a:srgbClr val="35A18C"/>
          </a:solidFill>
          <a:ln w="19050">
            <a:solidFill>
              <a:schemeClr val="lt1"/>
            </a:solidFill>
          </a:ln>
          <a:effectLst>
            <a:outerShdw blurRad="190500" dist="114300" dir="2700000" algn="tl" rotWithShape="0">
              <a:prstClr val="black">
                <a:alpha val="40000"/>
              </a:prstClr>
            </a:outerShdw>
          </a:effectLst>
        </c:spPr>
      </c:pivotFmt>
    </c:pivotFmts>
    <c:plotArea>
      <c:layout>
        <c:manualLayout>
          <c:layoutTarget val="inner"/>
          <c:xMode val="edge"/>
          <c:yMode val="edge"/>
          <c:x val="0.21032528014242358"/>
          <c:y val="0.18888875577607628"/>
          <c:w val="0.47274791951378858"/>
          <c:h val="0.76227241090534004"/>
        </c:manualLayout>
      </c:layout>
      <c:pieChart>
        <c:varyColors val="1"/>
        <c:ser>
          <c:idx val="0"/>
          <c:order val="0"/>
          <c:tx>
            <c:strRef>
              <c:f>pivot_table!$D$30</c:f>
              <c:strCache>
                <c:ptCount val="1"/>
                <c:pt idx="0">
                  <c:v>Total</c:v>
                </c:pt>
              </c:strCache>
            </c:strRef>
          </c:tx>
          <c:spPr>
            <a:effectLst>
              <a:outerShdw blurRad="190500" dist="114300" dir="2700000" algn="tl" rotWithShape="0">
                <a:prstClr val="black">
                  <a:alpha val="40000"/>
                </a:prstClr>
              </a:outerShdw>
            </a:effectLst>
          </c:spPr>
          <c:dPt>
            <c:idx val="0"/>
            <c:bubble3D val="0"/>
            <c:spPr>
              <a:solidFill>
                <a:srgbClr val="1C544A"/>
              </a:solidFill>
              <a:ln w="19050">
                <a:solidFill>
                  <a:schemeClr val="lt1"/>
                </a:solidFill>
              </a:ln>
              <a:effectLst>
                <a:outerShdw blurRad="190500" dist="114300" dir="2700000" algn="tl" rotWithShape="0">
                  <a:prstClr val="black">
                    <a:alpha val="40000"/>
                  </a:prstClr>
                </a:outerShdw>
              </a:effectLst>
            </c:spPr>
            <c:extLst>
              <c:ext xmlns:c16="http://schemas.microsoft.com/office/drawing/2014/chart" uri="{C3380CC4-5D6E-409C-BE32-E72D297353CC}">
                <c16:uniqueId val="{00000001-49BD-4E38-9084-6C2E8A11CAA8}"/>
              </c:ext>
            </c:extLst>
          </c:dPt>
          <c:dPt>
            <c:idx val="1"/>
            <c:bubble3D val="0"/>
            <c:spPr>
              <a:solidFill>
                <a:srgbClr val="35A18C"/>
              </a:solidFill>
              <a:ln w="19050">
                <a:solidFill>
                  <a:schemeClr val="lt1"/>
                </a:solidFill>
              </a:ln>
              <a:effectLst>
                <a:outerShdw blurRad="190500" dist="114300" dir="2700000" algn="tl" rotWithShape="0">
                  <a:prstClr val="black">
                    <a:alpha val="40000"/>
                  </a:prstClr>
                </a:outerShdw>
              </a:effectLst>
            </c:spPr>
            <c:extLst>
              <c:ext xmlns:c16="http://schemas.microsoft.com/office/drawing/2014/chart" uri="{C3380CC4-5D6E-409C-BE32-E72D297353CC}">
                <c16:uniqueId val="{00000003-49BD-4E38-9084-6C2E8A11CA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pivot_table!$C$31:$C$33</c:f>
              <c:strCache>
                <c:ptCount val="2"/>
                <c:pt idx="0">
                  <c:v>high cost</c:v>
                </c:pt>
                <c:pt idx="1">
                  <c:v>Low Cost</c:v>
                </c:pt>
              </c:strCache>
            </c:strRef>
          </c:cat>
          <c:val>
            <c:numRef>
              <c:f>pivot_table!$D$31:$D$33</c:f>
              <c:numCache>
                <c:formatCode>0.00</c:formatCode>
                <c:ptCount val="2"/>
                <c:pt idx="0">
                  <c:v>72.254716981132077</c:v>
                </c:pt>
                <c:pt idx="1">
                  <c:v>68.255319148936167</c:v>
                </c:pt>
              </c:numCache>
            </c:numRef>
          </c:val>
          <c:extLst>
            <c:ext xmlns:c16="http://schemas.microsoft.com/office/drawing/2014/chart" uri="{C3380CC4-5D6E-409C-BE32-E72D297353CC}">
              <c16:uniqueId val="{00000004-49BD-4E38-9084-6C2E8A11CA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[hospital_patient_treatment_dataset.csv.xlsx]pivot_table!PivotTable4</c:name>
    <c:fmtId val="18"/>
  </c:pivotSource>
  <c:chart>
    <c:title>
      <c:layout>
        <c:manualLayout>
          <c:xMode val="edge"/>
          <c:yMode val="edge"/>
          <c:x val="0.44015516843216118"/>
          <c:y val="7.95528614018177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97B6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C544A"/>
          </a:solidFill>
          <a:ln w="19050">
            <a:solidFill>
              <a:schemeClr val="lt1"/>
            </a:solidFill>
          </a:ln>
          <a:effectLst/>
        </c:spPr>
      </c:pivotFmt>
      <c:pivotFmt>
        <c:idx val="2"/>
        <c:spPr>
          <a:solidFill>
            <a:srgbClr val="081A17"/>
          </a:solidFill>
          <a:ln w="19050">
            <a:solidFill>
              <a:schemeClr val="lt1"/>
            </a:solidFill>
          </a:ln>
          <a:effectLst/>
        </c:spPr>
      </c:pivotFmt>
      <c:pivotFmt>
        <c:idx val="3"/>
        <c:spPr>
          <a:solidFill>
            <a:srgbClr val="297B6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97B6B"/>
          </a:solidFill>
          <a:ln w="19050">
            <a:solidFill>
              <a:schemeClr val="lt1"/>
            </a:solidFill>
          </a:ln>
          <a:effectLst/>
        </c:spPr>
      </c:pivotFmt>
      <c:pivotFmt>
        <c:idx val="5"/>
        <c:spPr>
          <a:solidFill>
            <a:srgbClr val="081A17"/>
          </a:solidFill>
          <a:ln w="19050">
            <a:solidFill>
              <a:schemeClr val="lt1"/>
            </a:solidFill>
          </a:ln>
          <a:effectLst/>
        </c:spPr>
      </c:pivotFmt>
      <c:pivotFmt>
        <c:idx val="6"/>
        <c:spPr>
          <a:solidFill>
            <a:srgbClr val="1C544A"/>
          </a:solidFill>
          <a:ln w="19050">
            <a:solidFill>
              <a:schemeClr val="lt1"/>
            </a:solidFill>
          </a:ln>
          <a:effectLst/>
        </c:spPr>
      </c:pivotFmt>
      <c:pivotFmt>
        <c:idx val="7"/>
        <c:spPr>
          <a:solidFill>
            <a:srgbClr val="297B6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97B6B"/>
          </a:solidFill>
          <a:ln w="19050">
            <a:solidFill>
              <a:schemeClr val="lt1"/>
            </a:solidFill>
          </a:ln>
          <a:effectLst/>
        </c:spPr>
      </c:pivotFmt>
      <c:pivotFmt>
        <c:idx val="9"/>
        <c:spPr>
          <a:solidFill>
            <a:srgbClr val="081A17"/>
          </a:solidFill>
          <a:ln w="19050">
            <a:solidFill>
              <a:schemeClr val="lt1"/>
            </a:solidFill>
          </a:ln>
          <a:effectLst/>
        </c:spPr>
      </c:pivotFmt>
      <c:pivotFmt>
        <c:idx val="10"/>
        <c:spPr>
          <a:solidFill>
            <a:srgbClr val="1C544A"/>
          </a:solidFill>
          <a:ln w="19050">
            <a:solidFill>
              <a:schemeClr val="lt1"/>
            </a:solidFill>
          </a:ln>
          <a:effectLst/>
        </c:spPr>
      </c:pivotFmt>
    </c:pivotFmts>
    <c:plotArea>
      <c:layout>
        <c:manualLayout>
          <c:layoutTarget val="inner"/>
          <c:xMode val="edge"/>
          <c:yMode val="edge"/>
          <c:x val="0.2070242761564704"/>
          <c:y val="0.19892563868168536"/>
          <c:w val="0.52018108241551853"/>
          <c:h val="0.74381838517077026"/>
        </c:manualLayout>
      </c:layout>
      <c:doughnutChart>
        <c:varyColors val="1"/>
        <c:ser>
          <c:idx val="0"/>
          <c:order val="0"/>
          <c:tx>
            <c:strRef>
              <c:f>pivot_table!$D$17</c:f>
              <c:strCache>
                <c:ptCount val="1"/>
                <c:pt idx="0">
                  <c:v>Total</c:v>
                </c:pt>
              </c:strCache>
            </c:strRef>
          </c:tx>
          <c:spPr>
            <a:solidFill>
              <a:srgbClr val="297B6B"/>
            </a:solidFill>
          </c:spPr>
          <c:dPt>
            <c:idx val="0"/>
            <c:bubble3D val="0"/>
            <c:spPr>
              <a:solidFill>
                <a:srgbClr val="297B6B"/>
              </a:solidFill>
              <a:ln w="19050">
                <a:solidFill>
                  <a:schemeClr val="lt1"/>
                </a:solidFill>
              </a:ln>
              <a:effectLst/>
            </c:spPr>
            <c:extLst>
              <c:ext xmlns:c16="http://schemas.microsoft.com/office/drawing/2014/chart" uri="{C3380CC4-5D6E-409C-BE32-E72D297353CC}">
                <c16:uniqueId val="{00000001-387E-4E18-84E8-AB8ED64BFAE2}"/>
              </c:ext>
            </c:extLst>
          </c:dPt>
          <c:dPt>
            <c:idx val="1"/>
            <c:bubble3D val="0"/>
            <c:spPr>
              <a:solidFill>
                <a:srgbClr val="081A17"/>
              </a:solidFill>
              <a:ln w="19050">
                <a:solidFill>
                  <a:schemeClr val="lt1"/>
                </a:solidFill>
              </a:ln>
              <a:effectLst/>
            </c:spPr>
            <c:extLst>
              <c:ext xmlns:c16="http://schemas.microsoft.com/office/drawing/2014/chart" uri="{C3380CC4-5D6E-409C-BE32-E72D297353CC}">
                <c16:uniqueId val="{00000003-387E-4E18-84E8-AB8ED64BFAE2}"/>
              </c:ext>
            </c:extLst>
          </c:dPt>
          <c:dPt>
            <c:idx val="2"/>
            <c:bubble3D val="0"/>
            <c:spPr>
              <a:solidFill>
                <a:srgbClr val="1C544A"/>
              </a:solidFill>
              <a:ln w="19050">
                <a:solidFill>
                  <a:schemeClr val="lt1"/>
                </a:solidFill>
              </a:ln>
              <a:effectLst/>
            </c:spPr>
            <c:extLst>
              <c:ext xmlns:c16="http://schemas.microsoft.com/office/drawing/2014/chart" uri="{C3380CC4-5D6E-409C-BE32-E72D297353CC}">
                <c16:uniqueId val="{00000005-387E-4E18-84E8-AB8ED64BFAE2}"/>
              </c:ext>
            </c:extLst>
          </c:dPt>
          <c:cat>
            <c:strRef>
              <c:f>pivot_table!$C$18:$C$21</c:f>
              <c:strCache>
                <c:ptCount val="3"/>
                <c:pt idx="0">
                  <c:v>Female</c:v>
                </c:pt>
                <c:pt idx="1">
                  <c:v>Male</c:v>
                </c:pt>
                <c:pt idx="2">
                  <c:v>Other</c:v>
                </c:pt>
              </c:strCache>
            </c:strRef>
          </c:cat>
          <c:val>
            <c:numRef>
              <c:f>pivot_table!$D$18:$D$21</c:f>
              <c:numCache>
                <c:formatCode>0.00</c:formatCode>
                <c:ptCount val="3"/>
                <c:pt idx="0">
                  <c:v>71.614035087719301</c:v>
                </c:pt>
                <c:pt idx="1">
                  <c:v>72.283950617283949</c:v>
                </c:pt>
                <c:pt idx="2">
                  <c:v>66.741935483870961</c:v>
                </c:pt>
              </c:numCache>
            </c:numRef>
          </c:val>
          <c:extLst>
            <c:ext xmlns:c16="http://schemas.microsoft.com/office/drawing/2014/chart" uri="{C3380CC4-5D6E-409C-BE32-E72D297353CC}">
              <c16:uniqueId val="{00000006-387E-4E18-84E8-AB8ED64BFAE2}"/>
            </c:ext>
          </c:extLst>
        </c:ser>
        <c:dLbls>
          <c:showLegendKey val="0"/>
          <c:showVal val="0"/>
          <c:showCatName val="0"/>
          <c:showSerName val="0"/>
          <c:showPercent val="0"/>
          <c:showBubbleSize val="0"/>
          <c:showLeaderLines val="1"/>
        </c:dLbls>
        <c:firstSliceAng val="0"/>
        <c:holeSize val="75"/>
      </c:doughnutChart>
      <c:spPr>
        <a:noFill/>
        <a:ln w="1270" cmpd="thickThin">
          <a:solidFill>
            <a:schemeClr val="l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88900"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Avg recovery Score by Treatment Type</cx:v>
        </cx:txData>
      </cx:tx>
      <cx:txPr>
        <a:bodyPr spcFirstLastPara="1" vertOverflow="ellipsis" horzOverflow="overflow" wrap="square" lIns="0" tIns="0" rIns="0" bIns="0" anchor="ctr" anchorCtr="1"/>
        <a:lstStyle/>
        <a:p>
          <a:pPr algn="ctr" rtl="0">
            <a:defRPr/>
          </a:pPr>
          <a:r>
            <a:rPr lang="en-US" sz="1400" b="0" i="0" u="none" strike="noStrike" baseline="0">
              <a:solidFill>
                <a:srgbClr val="061808"/>
              </a:solidFill>
              <a:latin typeface="Aptos Narrow" panose="02110004020202020204"/>
            </a:rPr>
            <a:t>Avg recovery Score by Treatment Type</a:t>
          </a:r>
        </a:p>
      </cx:txPr>
    </cx:title>
    <cx:plotArea>
      <cx:plotAreaRegion>
        <cx:series layoutId="funnel" uniqueId="{7F94F809-68E9-48FE-B464-3337745E6141}">
          <cx:tx>
            <cx:txData>
              <cx:f/>
              <cx:v>Treatment</cx:v>
            </cx:txData>
          </cx:tx>
          <cx:spPr>
            <a:solidFill>
              <a:srgbClr val="1C544A"/>
            </a:solidFill>
            <a:effectLst>
              <a:outerShdw blurRad="190500" dist="114300" dir="5400000" algn="t" rotWithShape="0">
                <a:prstClr val="black">
                  <a:alpha val="40000"/>
                </a:prstClr>
              </a:outerShdw>
            </a:effectLst>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Avg Recovery by Age Group</cx:v>
        </cx:txData>
      </cx:tx>
      <cx:txPr>
        <a:bodyPr spcFirstLastPara="1" vertOverflow="ellipsis" horzOverflow="overflow" wrap="square" lIns="0" tIns="0" rIns="0" bIns="0" anchor="ctr" anchorCtr="1"/>
        <a:lstStyle/>
        <a:p>
          <a:pPr algn="ctr" rtl="0">
            <a:defRPr/>
          </a:pPr>
          <a:r>
            <a:rPr lang="en-US" sz="1600" b="0" i="0" u="none" strike="noStrike" baseline="0">
              <a:solidFill>
                <a:srgbClr val="061808"/>
              </a:solidFill>
              <a:latin typeface="Calibri" panose="020F0502020204030204" pitchFamily="34" charset="0"/>
              <a:ea typeface="Calibri" panose="020F0502020204030204" pitchFamily="34" charset="0"/>
              <a:cs typeface="Calibri" panose="020F0502020204030204" pitchFamily="34" charset="0"/>
            </a:rPr>
            <a:t>Avg Recovery by Age Group</a:t>
          </a:r>
        </a:p>
      </cx:txPr>
    </cx:title>
    <cx:plotArea>
      <cx:plotAreaRegion>
        <cx:series layoutId="treemap" uniqueId="{07757AD8-69C4-4EA2-992F-B914592A1C9A}">
          <cx:dataPt idx="0">
            <cx:spPr>
              <a:solidFill>
                <a:srgbClr val="1C544A"/>
              </a:solidFill>
            </cx:spPr>
          </cx:dataPt>
          <cx:dataPt idx="1">
            <cx:spPr>
              <a:solidFill>
                <a:srgbClr val="0E2841">
                  <a:lumMod val="10000"/>
                  <a:lumOff val="90000"/>
                </a:srgbClr>
              </a:solidFill>
            </cx:spPr>
          </cx:dataPt>
          <cx:dataPt idx="2">
            <cx:spPr>
              <a:solidFill>
                <a:srgbClr val="A3E1D5"/>
              </a:solidFill>
            </cx:spPr>
          </cx:dataPt>
          <cx:dataPt idx="3">
            <cx:spPr>
              <a:solidFill>
                <a:srgbClr val="FFC000"/>
              </a:solidFill>
            </cx:spPr>
          </cx:dataPt>
          <cx:dataPt idx="4">
            <cx:spPr>
              <a:solidFill>
                <a:srgbClr val="35A18C"/>
              </a:solidFill>
            </cx:spPr>
          </cx:dataPt>
          <cx:dataPt idx="5">
            <cx:spPr>
              <a:solidFill>
                <a:srgbClr val="4EA72E">
                  <a:lumMod val="75000"/>
                </a:srgbClr>
              </a:solidFill>
            </cx:spPr>
          </cx:dataPt>
          <cx:dataPt idx="6">
            <cx:spPr>
              <a:solidFill>
                <a:srgbClr val="081A17"/>
              </a:solidFill>
            </cx:spPr>
          </cx:dataPt>
          <cx:dataPt idx="7">
            <cx:spPr>
              <a:solidFill>
                <a:srgbClr val="297B6B"/>
              </a:solidFill>
            </cx:spPr>
          </cx:dataPt>
          <cx:dataLabels>
            <cx:visibility seriesName="0" categoryName="1" value="0"/>
          </cx:dataLabels>
          <cx:dataId val="0"/>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microsoft.com/office/2014/relationships/chartEx" Target="../charts/chartEx1.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5.png"/><Relationship Id="rId5" Type="http://schemas.microsoft.com/office/2014/relationships/chartEx" Target="../charts/chartEx2.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3.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9</xdr:col>
      <xdr:colOff>400050</xdr:colOff>
      <xdr:row>9</xdr:row>
      <xdr:rowOff>95250</xdr:rowOff>
    </xdr:from>
    <xdr:to>
      <xdr:col>12</xdr:col>
      <xdr:colOff>400049</xdr:colOff>
      <xdr:row>20</xdr:row>
      <xdr:rowOff>57150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DB76E041-72FE-5982-FC58-56EFE09023F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086975" y="1809750"/>
              <a:ext cx="182880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409575</xdr:colOff>
      <xdr:row>1</xdr:row>
      <xdr:rowOff>57150</xdr:rowOff>
    </xdr:from>
    <xdr:to>
      <xdr:col>12</xdr:col>
      <xdr:colOff>409574</xdr:colOff>
      <xdr:row>9</xdr:row>
      <xdr:rowOff>28575</xdr:rowOff>
    </xdr:to>
    <mc:AlternateContent xmlns:mc="http://schemas.openxmlformats.org/markup-compatibility/2006" xmlns:a14="http://schemas.microsoft.com/office/drawing/2010/main">
      <mc:Choice Requires="a14">
        <xdr:graphicFrame macro="">
          <xdr:nvGraphicFramePr>
            <xdr:cNvPr id="3" name="Treatment Type">
              <a:extLst>
                <a:ext uri="{FF2B5EF4-FFF2-40B4-BE49-F238E27FC236}">
                  <a16:creationId xmlns:a16="http://schemas.microsoft.com/office/drawing/2014/main" id="{B62FE602-6693-936F-A6BD-0F1567554D73}"/>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10096500" y="247650"/>
              <a:ext cx="1828800"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295275</xdr:colOff>
      <xdr:row>8</xdr:row>
      <xdr:rowOff>38100</xdr:rowOff>
    </xdr:from>
    <xdr:to>
      <xdr:col>9</xdr:col>
      <xdr:colOff>295275</xdr:colOff>
      <xdr:row>17</xdr:row>
      <xdr:rowOff>114300</xdr:rowOff>
    </xdr:to>
    <mc:AlternateContent xmlns:mc="http://schemas.openxmlformats.org/markup-compatibility/2006" xmlns:a14="http://schemas.microsoft.com/office/drawing/2010/main">
      <mc:Choice Requires="a14">
        <xdr:graphicFrame macro="">
          <xdr:nvGraphicFramePr>
            <xdr:cNvPr id="4" name="Doctor Name">
              <a:extLst>
                <a:ext uri="{FF2B5EF4-FFF2-40B4-BE49-F238E27FC236}">
                  <a16:creationId xmlns:a16="http://schemas.microsoft.com/office/drawing/2014/main" id="{70CC942C-CFF0-8C09-D46A-3D7DF8415469}"/>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mlns="">
        <xdr:sp macro="" textlink="">
          <xdr:nvSpPr>
            <xdr:cNvPr id="0" name=""/>
            <xdr:cNvSpPr>
              <a:spLocks noTextEdit="1"/>
            </xdr:cNvSpPr>
          </xdr:nvSpPr>
          <xdr:spPr>
            <a:xfrm>
              <a:off x="8153400" y="1562100"/>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304800</xdr:colOff>
      <xdr:row>1</xdr:row>
      <xdr:rowOff>95250</xdr:rowOff>
    </xdr:from>
    <xdr:to>
      <xdr:col>9</xdr:col>
      <xdr:colOff>304800</xdr:colOff>
      <xdr:row>7</xdr:row>
      <xdr:rowOff>152400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4D0530D3-9E2E-9276-00CE-B3FE1EEF906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62925" y="285750"/>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218369</xdr:colOff>
      <xdr:row>0</xdr:row>
      <xdr:rowOff>43039</xdr:rowOff>
    </xdr:from>
    <xdr:to>
      <xdr:col>19</xdr:col>
      <xdr:colOff>20876</xdr:colOff>
      <xdr:row>5</xdr:row>
      <xdr:rowOff>62089</xdr:rowOff>
    </xdr:to>
    <xdr:sp macro="" textlink="">
      <xdr:nvSpPr>
        <xdr:cNvPr id="2" name="Rectangle: Top Corners Rounded 1">
          <a:extLst>
            <a:ext uri="{FF2B5EF4-FFF2-40B4-BE49-F238E27FC236}">
              <a16:creationId xmlns:a16="http://schemas.microsoft.com/office/drawing/2014/main" id="{EEE86D5B-24B0-B6AE-86DC-DE6B4AD1AE25}"/>
            </a:ext>
          </a:extLst>
        </xdr:cNvPr>
        <xdr:cNvSpPr/>
      </xdr:nvSpPr>
      <xdr:spPr>
        <a:xfrm>
          <a:off x="218369" y="43039"/>
          <a:ext cx="11364799" cy="989189"/>
        </a:xfrm>
        <a:prstGeom prst="round2SameRect">
          <a:avLst/>
        </a:prstGeom>
        <a:solidFill>
          <a:srgbClr val="061808"/>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600" b="1" baseline="0">
              <a:solidFill>
                <a:schemeClr val="bg1"/>
              </a:solidFill>
              <a:latin typeface="Calibri" panose="020F0502020204030204" pitchFamily="34" charset="0"/>
              <a:ea typeface="Calibri" panose="020F0502020204030204" pitchFamily="34" charset="0"/>
              <a:cs typeface="Calibri" panose="020F0502020204030204" pitchFamily="34" charset="0"/>
            </a:rPr>
            <a:t>Patient Treatment Data- Recovery Analysis</a:t>
          </a:r>
          <a:endParaRPr lang="en-IN" sz="3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254160</xdr:colOff>
      <xdr:row>3</xdr:row>
      <xdr:rowOff>85323</xdr:rowOff>
    </xdr:from>
    <xdr:to>
      <xdr:col>14</xdr:col>
      <xdr:colOff>513932</xdr:colOff>
      <xdr:row>4</xdr:row>
      <xdr:rowOff>132292</xdr:rowOff>
    </xdr:to>
    <xdr:sp macro="" textlink="">
      <xdr:nvSpPr>
        <xdr:cNvPr id="3" name="TextBox 2">
          <a:extLst>
            <a:ext uri="{FF2B5EF4-FFF2-40B4-BE49-F238E27FC236}">
              <a16:creationId xmlns:a16="http://schemas.microsoft.com/office/drawing/2014/main" id="{E8B91D43-4E72-7BE0-1E7F-8A78D0CBC95C}"/>
            </a:ext>
          </a:extLst>
        </xdr:cNvPr>
        <xdr:cNvSpPr txBox="1"/>
      </xdr:nvSpPr>
      <xdr:spPr>
        <a:xfrm>
          <a:off x="3296868" y="667406"/>
          <a:ext cx="5736647" cy="240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effectLst/>
              <a:latin typeface="+mn-lt"/>
              <a:ea typeface="+mn-ea"/>
              <a:cs typeface="+mn-cs"/>
            </a:rPr>
            <a:t>Analyze treatment effectiveness, cost efficiency and recovery outcomes</a:t>
          </a:r>
          <a:endParaRPr lang="en-IN" sz="2000">
            <a:solidFill>
              <a:schemeClr val="bg1"/>
            </a:solidFill>
            <a:effectLst/>
          </a:endParaRPr>
        </a:p>
      </xdr:txBody>
    </xdr:sp>
    <xdr:clientData/>
  </xdr:twoCellAnchor>
  <xdr:twoCellAnchor editAs="oneCell">
    <xdr:from>
      <xdr:col>19</xdr:col>
      <xdr:colOff>197862</xdr:colOff>
      <xdr:row>27</xdr:row>
      <xdr:rowOff>132918</xdr:rowOff>
    </xdr:from>
    <xdr:to>
      <xdr:col>22</xdr:col>
      <xdr:colOff>181947</xdr:colOff>
      <xdr:row>40</xdr:row>
      <xdr:rowOff>18984</xdr:rowOff>
    </xdr:to>
    <mc:AlternateContent xmlns:mc="http://schemas.openxmlformats.org/markup-compatibility/2006" xmlns:a14="http://schemas.microsoft.com/office/drawing/2010/main">
      <mc:Choice Requires="a14">
        <xdr:graphicFrame macro="">
          <xdr:nvGraphicFramePr>
            <xdr:cNvPr id="4" name="Department 1">
              <a:extLst>
                <a:ext uri="{FF2B5EF4-FFF2-40B4-BE49-F238E27FC236}">
                  <a16:creationId xmlns:a16="http://schemas.microsoft.com/office/drawing/2014/main" id="{FC0F464C-0825-4A45-BBC1-F0330CC79E5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908009" y="5175565"/>
              <a:ext cx="1833056" cy="2314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206445</xdr:colOff>
      <xdr:row>18</xdr:row>
      <xdr:rowOff>133242</xdr:rowOff>
    </xdr:from>
    <xdr:to>
      <xdr:col>22</xdr:col>
      <xdr:colOff>190530</xdr:colOff>
      <xdr:row>26</xdr:row>
      <xdr:rowOff>160207</xdr:rowOff>
    </xdr:to>
    <mc:AlternateContent xmlns:mc="http://schemas.openxmlformats.org/markup-compatibility/2006" xmlns:a14="http://schemas.microsoft.com/office/drawing/2010/main">
      <mc:Choice Requires="a14">
        <xdr:graphicFrame macro="">
          <xdr:nvGraphicFramePr>
            <xdr:cNvPr id="5" name="Treatment Type 1">
              <a:extLst>
                <a:ext uri="{FF2B5EF4-FFF2-40B4-BE49-F238E27FC236}">
                  <a16:creationId xmlns:a16="http://schemas.microsoft.com/office/drawing/2014/main" id="{DDBEEBF0-99F9-4BC3-85FF-B2381E4811F5}"/>
                </a:ext>
              </a:extLst>
            </xdr:cNvPr>
            <xdr:cNvGraphicFramePr/>
          </xdr:nvGraphicFramePr>
          <xdr:xfrm>
            <a:off x="0" y="0"/>
            <a:ext cx="0" cy="0"/>
          </xdr:xfrm>
          <a:graphic>
            <a:graphicData uri="http://schemas.microsoft.com/office/drawing/2010/slicer">
              <sle:slicer xmlns:sle="http://schemas.microsoft.com/office/drawing/2010/slicer" name="Treatment Type 1"/>
            </a:graphicData>
          </a:graphic>
        </xdr:graphicFrame>
      </mc:Choice>
      <mc:Fallback xmlns="">
        <xdr:sp macro="" textlink="">
          <xdr:nvSpPr>
            <xdr:cNvPr id="0" name=""/>
            <xdr:cNvSpPr>
              <a:spLocks noTextEdit="1"/>
            </xdr:cNvSpPr>
          </xdr:nvSpPr>
          <xdr:spPr>
            <a:xfrm>
              <a:off x="11916592" y="3495007"/>
              <a:ext cx="1833056" cy="1521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192459</xdr:colOff>
      <xdr:row>8</xdr:row>
      <xdr:rowOff>16382</xdr:rowOff>
    </xdr:from>
    <xdr:to>
      <xdr:col>22</xdr:col>
      <xdr:colOff>176544</xdr:colOff>
      <xdr:row>17</xdr:row>
      <xdr:rowOff>191741</xdr:rowOff>
    </xdr:to>
    <mc:AlternateContent xmlns:mc="http://schemas.openxmlformats.org/markup-compatibility/2006" xmlns:a14="http://schemas.microsoft.com/office/drawing/2010/main">
      <mc:Choice Requires="a14">
        <xdr:graphicFrame macro="">
          <xdr:nvGraphicFramePr>
            <xdr:cNvPr id="6" name="Doctor Name 1">
              <a:extLst>
                <a:ext uri="{FF2B5EF4-FFF2-40B4-BE49-F238E27FC236}">
                  <a16:creationId xmlns:a16="http://schemas.microsoft.com/office/drawing/2014/main" id="{3093B0C8-70DA-4A0C-91B2-5BEA23A30615}"/>
                </a:ext>
              </a:extLst>
            </xdr:cNvPr>
            <xdr:cNvGraphicFramePr/>
          </xdr:nvGraphicFramePr>
          <xdr:xfrm>
            <a:off x="0" y="0"/>
            <a:ext cx="0" cy="0"/>
          </xdr:xfrm>
          <a:graphic>
            <a:graphicData uri="http://schemas.microsoft.com/office/drawing/2010/slicer">
              <sle:slicer xmlns:sle="http://schemas.microsoft.com/office/drawing/2010/slicer" name="Doctor Name 1"/>
            </a:graphicData>
          </a:graphic>
        </xdr:graphicFrame>
      </mc:Choice>
      <mc:Fallback xmlns="">
        <xdr:sp macro="" textlink="">
          <xdr:nvSpPr>
            <xdr:cNvPr id="0" name=""/>
            <xdr:cNvSpPr>
              <a:spLocks noTextEdit="1"/>
            </xdr:cNvSpPr>
          </xdr:nvSpPr>
          <xdr:spPr>
            <a:xfrm>
              <a:off x="11902606" y="1510500"/>
              <a:ext cx="1833056" cy="1856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210629</xdr:colOff>
      <xdr:row>0</xdr:row>
      <xdr:rowOff>143219</xdr:rowOff>
    </xdr:from>
    <xdr:to>
      <xdr:col>22</xdr:col>
      <xdr:colOff>194714</xdr:colOff>
      <xdr:row>7</xdr:row>
      <xdr:rowOff>75518</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151784AC-58C3-403F-A555-EDB3448E70A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920776" y="143219"/>
              <a:ext cx="1833056" cy="1239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213787</xdr:colOff>
      <xdr:row>6</xdr:row>
      <xdr:rowOff>46776</xdr:rowOff>
    </xdr:from>
    <xdr:to>
      <xdr:col>3</xdr:col>
      <xdr:colOff>421167</xdr:colOff>
      <xdr:row>10</xdr:row>
      <xdr:rowOff>192576</xdr:rowOff>
    </xdr:to>
    <xdr:sp macro="" textlink="">
      <xdr:nvSpPr>
        <xdr:cNvPr id="9" name="Rectangle: Rounded Corners 8">
          <a:extLst>
            <a:ext uri="{FF2B5EF4-FFF2-40B4-BE49-F238E27FC236}">
              <a16:creationId xmlns:a16="http://schemas.microsoft.com/office/drawing/2014/main" id="{4672ABCD-11D9-FB94-54FD-0FFA750AF58B}"/>
            </a:ext>
          </a:extLst>
        </xdr:cNvPr>
        <xdr:cNvSpPr/>
      </xdr:nvSpPr>
      <xdr:spPr>
        <a:xfrm>
          <a:off x="213787" y="1210943"/>
          <a:ext cx="2033005" cy="921911"/>
        </a:xfrm>
        <a:prstGeom prst="round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2000" b="1">
              <a:solidFill>
                <a:schemeClr val="accent2">
                  <a:lumMod val="50000"/>
                </a:schemeClr>
              </a:solidFill>
              <a:latin typeface="Calibi"/>
              <a:ea typeface="+mn-ea"/>
              <a:cs typeface="Times New Roman" panose="02020603050405020304" pitchFamily="18" charset="0"/>
            </a:rPr>
            <a:t>Paitent's</a:t>
          </a:r>
          <a:r>
            <a:rPr lang="en-IN" sz="2000" b="1" baseline="0">
              <a:solidFill>
                <a:schemeClr val="accent2">
                  <a:lumMod val="50000"/>
                </a:schemeClr>
              </a:solidFill>
              <a:latin typeface="Calibi"/>
              <a:ea typeface="+mn-ea"/>
              <a:cs typeface="Times New Roman" panose="02020603050405020304" pitchFamily="18" charset="0"/>
            </a:rPr>
            <a:t> Count</a:t>
          </a:r>
          <a:endParaRPr lang="en-IN" sz="2000" b="1">
            <a:solidFill>
              <a:schemeClr val="accent2">
                <a:lumMod val="50000"/>
              </a:schemeClr>
            </a:solidFill>
            <a:latin typeface="Calibi"/>
            <a:ea typeface="+mn-ea"/>
            <a:cs typeface="Times New Roman" panose="02020603050405020304" pitchFamily="18" charset="0"/>
          </a:endParaRPr>
        </a:p>
      </xdr:txBody>
    </xdr:sp>
    <xdr:clientData/>
  </xdr:twoCellAnchor>
  <xdr:twoCellAnchor>
    <xdr:from>
      <xdr:col>2</xdr:col>
      <xdr:colOff>84994</xdr:colOff>
      <xdr:row>8</xdr:row>
      <xdr:rowOff>58376</xdr:rowOff>
    </xdr:from>
    <xdr:to>
      <xdr:col>3</xdr:col>
      <xdr:colOff>125506</xdr:colOff>
      <xdr:row>10</xdr:row>
      <xdr:rowOff>83561</xdr:rowOff>
    </xdr:to>
    <xdr:sp macro="" textlink="pivot_table!A4">
      <xdr:nvSpPr>
        <xdr:cNvPr id="19" name="TextBox 18">
          <a:extLst>
            <a:ext uri="{FF2B5EF4-FFF2-40B4-BE49-F238E27FC236}">
              <a16:creationId xmlns:a16="http://schemas.microsoft.com/office/drawing/2014/main" id="{62238E05-6586-40F6-84A6-F54D7929D635}"/>
            </a:ext>
          </a:extLst>
        </xdr:cNvPr>
        <xdr:cNvSpPr txBox="1"/>
      </xdr:nvSpPr>
      <xdr:spPr>
        <a:xfrm>
          <a:off x="1302077" y="1610598"/>
          <a:ext cx="649054" cy="41324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903BA2-62E7-4CE1-B321-7860C0C1B60E}" type="TxLink">
            <a:rPr lang="en-US" sz="2400" b="1" i="0" u="none" strike="noStrike">
              <a:solidFill>
                <a:srgbClr val="1C544A"/>
              </a:solidFill>
              <a:latin typeface="Aptos Narrow"/>
            </a:rPr>
            <a:pPr/>
            <a:t>200</a:t>
          </a:fld>
          <a:endParaRPr lang="en-IN" sz="2400" b="1" i="0" u="none" strike="noStrike">
            <a:solidFill>
              <a:srgbClr val="1C544A"/>
            </a:solidFill>
            <a:latin typeface="Aptos Narrow"/>
          </a:endParaRPr>
        </a:p>
      </xdr:txBody>
    </xdr:sp>
    <xdr:clientData/>
  </xdr:twoCellAnchor>
  <xdr:twoCellAnchor>
    <xdr:from>
      <xdr:col>14</xdr:col>
      <xdr:colOff>541573</xdr:colOff>
      <xdr:row>6</xdr:row>
      <xdr:rowOff>18323</xdr:rowOff>
    </xdr:from>
    <xdr:to>
      <xdr:col>19</xdr:col>
      <xdr:colOff>64764</xdr:colOff>
      <xdr:row>10</xdr:row>
      <xdr:rowOff>148436</xdr:rowOff>
    </xdr:to>
    <xdr:sp macro="" textlink="">
      <xdr:nvSpPr>
        <xdr:cNvPr id="21" name="Rectangle: Rounded Corners 20">
          <a:extLst>
            <a:ext uri="{FF2B5EF4-FFF2-40B4-BE49-F238E27FC236}">
              <a16:creationId xmlns:a16="http://schemas.microsoft.com/office/drawing/2014/main" id="{772496AA-3E20-46FD-8620-16A27641FFC3}"/>
            </a:ext>
          </a:extLst>
        </xdr:cNvPr>
        <xdr:cNvSpPr/>
      </xdr:nvSpPr>
      <xdr:spPr>
        <a:xfrm>
          <a:off x="9061156" y="1182490"/>
          <a:ext cx="2565900" cy="906224"/>
        </a:xfrm>
        <a:prstGeom prst="round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2000" b="1" baseline="0">
              <a:solidFill>
                <a:schemeClr val="accent2">
                  <a:lumMod val="50000"/>
                </a:schemeClr>
              </a:solidFill>
              <a:latin typeface="Calibi"/>
              <a:ea typeface="+mn-ea"/>
              <a:cs typeface="Times New Roman" panose="02020603050405020304" pitchFamily="18" charset="0"/>
            </a:rPr>
            <a:t>     Recovery Score</a:t>
          </a:r>
          <a:endParaRPr lang="en-IN" sz="2000" b="1">
            <a:solidFill>
              <a:schemeClr val="accent2">
                <a:lumMod val="50000"/>
              </a:schemeClr>
            </a:solidFill>
            <a:latin typeface="Calibi"/>
            <a:ea typeface="+mn-ea"/>
            <a:cs typeface="Times New Roman" panose="02020603050405020304" pitchFamily="18" charset="0"/>
          </a:endParaRPr>
        </a:p>
      </xdr:txBody>
    </xdr:sp>
    <xdr:clientData/>
  </xdr:twoCellAnchor>
  <xdr:twoCellAnchor>
    <xdr:from>
      <xdr:col>16</xdr:col>
      <xdr:colOff>299413</xdr:colOff>
      <xdr:row>8</xdr:row>
      <xdr:rowOff>25632</xdr:rowOff>
    </xdr:from>
    <xdr:to>
      <xdr:col>18</xdr:col>
      <xdr:colOff>288532</xdr:colOff>
      <xdr:row>10</xdr:row>
      <xdr:rowOff>18985</xdr:rowOff>
    </xdr:to>
    <xdr:sp macro="" textlink="pivot_table!E4">
      <xdr:nvSpPr>
        <xdr:cNvPr id="22" name="TextBox 21">
          <a:extLst>
            <a:ext uri="{FF2B5EF4-FFF2-40B4-BE49-F238E27FC236}">
              <a16:creationId xmlns:a16="http://schemas.microsoft.com/office/drawing/2014/main" id="{178EFFE4-6491-4076-85BB-D5799CBC0652}"/>
            </a:ext>
          </a:extLst>
        </xdr:cNvPr>
        <xdr:cNvSpPr txBox="1"/>
      </xdr:nvSpPr>
      <xdr:spPr>
        <a:xfrm>
          <a:off x="10036080" y="1577854"/>
          <a:ext cx="1206202" cy="38140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83E8301-C95B-4820-B3AC-25BE6604253C}" type="TxLink">
            <a:rPr lang="en-US" sz="2400" b="1" i="0" u="none" strike="noStrike">
              <a:solidFill>
                <a:srgbClr val="1C544A"/>
              </a:solidFill>
              <a:latin typeface="Aptos Narrow"/>
              <a:ea typeface="+mn-ea"/>
              <a:cs typeface="+mn-cs"/>
            </a:rPr>
            <a:pPr marL="0" indent="0"/>
            <a:t>70.38</a:t>
          </a:fld>
          <a:endParaRPr lang="en-IN" sz="2400" b="1" i="0" u="none" strike="noStrike">
            <a:solidFill>
              <a:srgbClr val="1C544A"/>
            </a:solidFill>
            <a:latin typeface="Aptos Narrow"/>
            <a:ea typeface="+mn-ea"/>
            <a:cs typeface="+mn-cs"/>
          </a:endParaRPr>
        </a:p>
      </xdr:txBody>
    </xdr:sp>
    <xdr:clientData/>
  </xdr:twoCellAnchor>
  <xdr:twoCellAnchor>
    <xdr:from>
      <xdr:col>7</xdr:col>
      <xdr:colOff>576978</xdr:colOff>
      <xdr:row>6</xdr:row>
      <xdr:rowOff>34720</xdr:rowOff>
    </xdr:from>
    <xdr:to>
      <xdr:col>11</xdr:col>
      <xdr:colOff>105683</xdr:colOff>
      <xdr:row>10</xdr:row>
      <xdr:rowOff>159782</xdr:rowOff>
    </xdr:to>
    <xdr:sp macro="" textlink="">
      <xdr:nvSpPr>
        <xdr:cNvPr id="23" name="Rectangle: Rounded Corners 22">
          <a:extLst>
            <a:ext uri="{FF2B5EF4-FFF2-40B4-BE49-F238E27FC236}">
              <a16:creationId xmlns:a16="http://schemas.microsoft.com/office/drawing/2014/main" id="{B15306AA-7AEA-463C-9EA3-E6D03864D9ED}"/>
            </a:ext>
          </a:extLst>
        </xdr:cNvPr>
        <xdr:cNvSpPr/>
      </xdr:nvSpPr>
      <xdr:spPr>
        <a:xfrm>
          <a:off x="4836770" y="1198887"/>
          <a:ext cx="1962871" cy="901173"/>
        </a:xfrm>
        <a:prstGeom prst="round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2000" b="1" baseline="0">
              <a:solidFill>
                <a:schemeClr val="accent2">
                  <a:lumMod val="50000"/>
                </a:schemeClr>
              </a:solidFill>
              <a:latin typeface="Calibi"/>
              <a:ea typeface="+mn-ea"/>
              <a:cs typeface="Times New Roman" panose="02020603050405020304" pitchFamily="18" charset="0"/>
            </a:rPr>
            <a:t> Avg Age </a:t>
          </a:r>
          <a:endParaRPr lang="en-IN" sz="2000" b="1">
            <a:solidFill>
              <a:schemeClr val="accent2">
                <a:lumMod val="50000"/>
              </a:schemeClr>
            </a:solidFill>
            <a:latin typeface="Calibi"/>
            <a:ea typeface="+mn-ea"/>
            <a:cs typeface="Times New Roman" panose="02020603050405020304" pitchFamily="18" charset="0"/>
          </a:endParaRPr>
        </a:p>
      </xdr:txBody>
    </xdr:sp>
    <xdr:clientData/>
  </xdr:twoCellAnchor>
  <xdr:twoCellAnchor>
    <xdr:from>
      <xdr:col>9</xdr:col>
      <xdr:colOff>279870</xdr:colOff>
      <xdr:row>8</xdr:row>
      <xdr:rowOff>71946</xdr:rowOff>
    </xdr:from>
    <xdr:to>
      <xdr:col>10</xdr:col>
      <xdr:colOff>510135</xdr:colOff>
      <xdr:row>10</xdr:row>
      <xdr:rowOff>132291</xdr:rowOff>
    </xdr:to>
    <xdr:sp macro="" textlink="pivot_table!C4">
      <xdr:nvSpPr>
        <xdr:cNvPr id="24" name="TextBox 23">
          <a:extLst>
            <a:ext uri="{FF2B5EF4-FFF2-40B4-BE49-F238E27FC236}">
              <a16:creationId xmlns:a16="http://schemas.microsoft.com/office/drawing/2014/main" id="{78C2A547-B0AF-47D6-8D1F-711BEA868FEB}"/>
            </a:ext>
          </a:extLst>
        </xdr:cNvPr>
        <xdr:cNvSpPr txBox="1"/>
      </xdr:nvSpPr>
      <xdr:spPr>
        <a:xfrm>
          <a:off x="5756745" y="1624168"/>
          <a:ext cx="838807" cy="44840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64891EA-6F60-4FF6-B2F3-FF4E43641363}" type="TxLink">
            <a:rPr lang="en-US" sz="2400" b="1" i="0" u="none" strike="noStrike">
              <a:solidFill>
                <a:srgbClr val="1C544A"/>
              </a:solidFill>
              <a:latin typeface="Aptos Narrow"/>
              <a:ea typeface="+mn-ea"/>
              <a:cs typeface="+mn-cs"/>
            </a:rPr>
            <a:pPr marL="0" indent="0"/>
            <a:t>41.71</a:t>
          </a:fld>
          <a:endParaRPr lang="en-IN" sz="2400" b="1" i="0" u="none" strike="noStrike">
            <a:solidFill>
              <a:srgbClr val="1C544A"/>
            </a:solidFill>
            <a:latin typeface="Aptos Narrow"/>
            <a:ea typeface="+mn-ea"/>
            <a:cs typeface="+mn-cs"/>
          </a:endParaRPr>
        </a:p>
      </xdr:txBody>
    </xdr:sp>
    <xdr:clientData/>
  </xdr:twoCellAnchor>
  <xdr:twoCellAnchor>
    <xdr:from>
      <xdr:col>3</xdr:col>
      <xdr:colOff>539324</xdr:colOff>
      <xdr:row>6</xdr:row>
      <xdr:rowOff>51272</xdr:rowOff>
    </xdr:from>
    <xdr:to>
      <xdr:col>7</xdr:col>
      <xdr:colOff>460003</xdr:colOff>
      <xdr:row>10</xdr:row>
      <xdr:rowOff>156406</xdr:rowOff>
    </xdr:to>
    <xdr:sp macro="" textlink="">
      <xdr:nvSpPr>
        <xdr:cNvPr id="25" name="Rectangle: Rounded Corners 24">
          <a:extLst>
            <a:ext uri="{FF2B5EF4-FFF2-40B4-BE49-F238E27FC236}">
              <a16:creationId xmlns:a16="http://schemas.microsoft.com/office/drawing/2014/main" id="{AA97278E-10FC-4CFD-A392-6696BBA58431}"/>
            </a:ext>
          </a:extLst>
        </xdr:cNvPr>
        <xdr:cNvSpPr/>
      </xdr:nvSpPr>
      <xdr:spPr>
        <a:xfrm>
          <a:off x="2364949" y="1215439"/>
          <a:ext cx="2354846" cy="881245"/>
        </a:xfrm>
        <a:prstGeom prst="round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2000" b="1">
              <a:solidFill>
                <a:schemeClr val="accent2">
                  <a:lumMod val="50000"/>
                </a:schemeClr>
              </a:solidFill>
              <a:latin typeface="Calibi"/>
              <a:ea typeface="+mn-ea"/>
              <a:cs typeface="Times New Roman" panose="02020603050405020304" pitchFamily="18" charset="0"/>
            </a:rPr>
            <a:t>Avg</a:t>
          </a:r>
          <a:r>
            <a:rPr lang="en-IN" sz="2000" b="1" baseline="0">
              <a:solidFill>
                <a:schemeClr val="accent2">
                  <a:lumMod val="50000"/>
                </a:schemeClr>
              </a:solidFill>
              <a:latin typeface="Calibi"/>
              <a:ea typeface="+mn-ea"/>
              <a:cs typeface="Times New Roman" panose="02020603050405020304" pitchFamily="18" charset="0"/>
            </a:rPr>
            <a:t> Cost</a:t>
          </a:r>
          <a:endParaRPr lang="en-IN" sz="2000" b="1">
            <a:solidFill>
              <a:schemeClr val="accent2">
                <a:lumMod val="50000"/>
              </a:schemeClr>
            </a:solidFill>
            <a:latin typeface="Calibi"/>
            <a:ea typeface="+mn-ea"/>
            <a:cs typeface="Times New Roman" panose="02020603050405020304" pitchFamily="18" charset="0"/>
          </a:endParaRPr>
        </a:p>
      </xdr:txBody>
    </xdr:sp>
    <xdr:clientData/>
  </xdr:twoCellAnchor>
  <xdr:twoCellAnchor>
    <xdr:from>
      <xdr:col>5</xdr:col>
      <xdr:colOff>444707</xdr:colOff>
      <xdr:row>8</xdr:row>
      <xdr:rowOff>27400</xdr:rowOff>
    </xdr:from>
    <xdr:to>
      <xdr:col>7</xdr:col>
      <xdr:colOff>134326</xdr:colOff>
      <xdr:row>10</xdr:row>
      <xdr:rowOff>83560</xdr:rowOff>
    </xdr:to>
    <xdr:sp macro="" textlink="pivot_table!B4">
      <xdr:nvSpPr>
        <xdr:cNvPr id="26" name="TextBox 25">
          <a:extLst>
            <a:ext uri="{FF2B5EF4-FFF2-40B4-BE49-F238E27FC236}">
              <a16:creationId xmlns:a16="http://schemas.microsoft.com/office/drawing/2014/main" id="{182EAE81-4168-47C4-856D-5D8E4C68C27D}"/>
            </a:ext>
          </a:extLst>
        </xdr:cNvPr>
        <xdr:cNvSpPr txBox="1"/>
      </xdr:nvSpPr>
      <xdr:spPr>
        <a:xfrm>
          <a:off x="3512080" y="1577231"/>
          <a:ext cx="916568" cy="44361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70D082B-F5DB-4639-936F-83A174409F19}" type="TxLink">
            <a:rPr lang="en-US" sz="2400" b="1" i="0" u="none" strike="noStrike">
              <a:solidFill>
                <a:srgbClr val="1C544A"/>
              </a:solidFill>
              <a:latin typeface="Aptos Narrow"/>
              <a:ea typeface="+mn-ea"/>
              <a:cs typeface="+mn-cs"/>
            </a:rPr>
            <a:pPr marL="0" indent="0"/>
            <a:t>79698.51</a:t>
          </a:fld>
          <a:endParaRPr lang="en-IN" sz="2400" b="1" i="0" u="none" strike="noStrike">
            <a:solidFill>
              <a:srgbClr val="1C544A"/>
            </a:solidFill>
            <a:latin typeface="Aptos Narrow"/>
            <a:ea typeface="+mn-ea"/>
            <a:cs typeface="+mn-cs"/>
          </a:endParaRPr>
        </a:p>
      </xdr:txBody>
    </xdr:sp>
    <xdr:clientData/>
  </xdr:twoCellAnchor>
  <xdr:twoCellAnchor>
    <xdr:from>
      <xdr:col>11</xdr:col>
      <xdr:colOff>234836</xdr:colOff>
      <xdr:row>6</xdr:row>
      <xdr:rowOff>35129</xdr:rowOff>
    </xdr:from>
    <xdr:to>
      <xdr:col>14</xdr:col>
      <xdr:colOff>493141</xdr:colOff>
      <xdr:row>10</xdr:row>
      <xdr:rowOff>150741</xdr:rowOff>
    </xdr:to>
    <xdr:sp macro="" textlink="">
      <xdr:nvSpPr>
        <xdr:cNvPr id="27" name="Rectangle: Rounded Corners 26">
          <a:extLst>
            <a:ext uri="{FF2B5EF4-FFF2-40B4-BE49-F238E27FC236}">
              <a16:creationId xmlns:a16="http://schemas.microsoft.com/office/drawing/2014/main" id="{DA0F8277-C8FA-49AF-80FD-1179080238BA}"/>
            </a:ext>
          </a:extLst>
        </xdr:cNvPr>
        <xdr:cNvSpPr/>
      </xdr:nvSpPr>
      <xdr:spPr>
        <a:xfrm>
          <a:off x="6928794" y="1199296"/>
          <a:ext cx="2083930" cy="891723"/>
        </a:xfrm>
        <a:prstGeom prst="round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2000" b="1">
              <a:solidFill>
                <a:schemeClr val="accent2">
                  <a:lumMod val="50000"/>
                </a:schemeClr>
              </a:solidFill>
              <a:latin typeface="Calibi"/>
              <a:ea typeface="+mn-ea"/>
              <a:cs typeface="Times New Roman" panose="02020603050405020304" pitchFamily="18" charset="0"/>
            </a:rPr>
            <a:t>Avg</a:t>
          </a:r>
          <a:r>
            <a:rPr lang="en-IN" sz="2000" b="1" baseline="0">
              <a:solidFill>
                <a:schemeClr val="accent2">
                  <a:lumMod val="50000"/>
                </a:schemeClr>
              </a:solidFill>
              <a:latin typeface="Calibi"/>
              <a:ea typeface="+mn-ea"/>
              <a:cs typeface="Times New Roman" panose="02020603050405020304" pitchFamily="18" charset="0"/>
            </a:rPr>
            <a:t> Stays</a:t>
          </a:r>
          <a:endParaRPr lang="en-IN" sz="2000" b="1">
            <a:solidFill>
              <a:schemeClr val="accent2">
                <a:lumMod val="50000"/>
              </a:schemeClr>
            </a:solidFill>
            <a:latin typeface="Calibi"/>
            <a:ea typeface="+mn-ea"/>
            <a:cs typeface="Times New Roman" panose="02020603050405020304" pitchFamily="18" charset="0"/>
          </a:endParaRPr>
        </a:p>
      </xdr:txBody>
    </xdr:sp>
    <xdr:clientData/>
  </xdr:twoCellAnchor>
  <xdr:twoCellAnchor>
    <xdr:from>
      <xdr:col>12</xdr:col>
      <xdr:colOff>444710</xdr:colOff>
      <xdr:row>8</xdr:row>
      <xdr:rowOff>58024</xdr:rowOff>
    </xdr:from>
    <xdr:to>
      <xdr:col>14</xdr:col>
      <xdr:colOff>396277</xdr:colOff>
      <xdr:row>10</xdr:row>
      <xdr:rowOff>99706</xdr:rowOff>
    </xdr:to>
    <xdr:sp macro="" textlink="pivot_table!D4">
      <xdr:nvSpPr>
        <xdr:cNvPr id="28" name="TextBox 27">
          <a:extLst>
            <a:ext uri="{FF2B5EF4-FFF2-40B4-BE49-F238E27FC236}">
              <a16:creationId xmlns:a16="http://schemas.microsoft.com/office/drawing/2014/main" id="{2AE7893F-0546-4060-866E-35C582FC3C51}"/>
            </a:ext>
          </a:extLst>
        </xdr:cNvPr>
        <xdr:cNvSpPr txBox="1"/>
      </xdr:nvSpPr>
      <xdr:spPr>
        <a:xfrm>
          <a:off x="7747210" y="1610246"/>
          <a:ext cx="1168650" cy="42973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1E1532-94EF-4E4E-86B1-D9825473C9BD}" type="TxLink">
            <a:rPr lang="en-US" sz="2400" b="1" i="0" u="none" strike="noStrike">
              <a:solidFill>
                <a:srgbClr val="1C544A"/>
              </a:solidFill>
              <a:latin typeface="Aptos Narrow"/>
              <a:ea typeface="+mn-ea"/>
              <a:cs typeface="+mn-cs"/>
            </a:rPr>
            <a:pPr marL="0" indent="0"/>
            <a:t>16.02</a:t>
          </a:fld>
          <a:endParaRPr lang="en-IN" sz="2400" b="1" i="0" u="none" strike="noStrike">
            <a:solidFill>
              <a:srgbClr val="1C544A"/>
            </a:solidFill>
            <a:latin typeface="Aptos Narrow"/>
            <a:ea typeface="+mn-ea"/>
            <a:cs typeface="+mn-cs"/>
          </a:endParaRPr>
        </a:p>
      </xdr:txBody>
    </xdr:sp>
    <xdr:clientData/>
  </xdr:twoCellAnchor>
  <xdr:twoCellAnchor>
    <xdr:from>
      <xdr:col>0</xdr:col>
      <xdr:colOff>263162</xdr:colOff>
      <xdr:row>11</xdr:row>
      <xdr:rowOff>44040</xdr:rowOff>
    </xdr:from>
    <xdr:to>
      <xdr:col>5</xdr:col>
      <xdr:colOff>458320</xdr:colOff>
      <xdr:row>25</xdr:row>
      <xdr:rowOff>80333</xdr:rowOff>
    </xdr:to>
    <xdr:graphicFrame macro="">
      <xdr:nvGraphicFramePr>
        <xdr:cNvPr id="31" name="Chart 30">
          <a:extLst>
            <a:ext uri="{FF2B5EF4-FFF2-40B4-BE49-F238E27FC236}">
              <a16:creationId xmlns:a16="http://schemas.microsoft.com/office/drawing/2014/main" id="{4C61FD01-BD10-4919-9611-11334A8B3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559353</xdr:colOff>
      <xdr:row>11</xdr:row>
      <xdr:rowOff>70891</xdr:rowOff>
    </xdr:from>
    <xdr:to>
      <xdr:col>12</xdr:col>
      <xdr:colOff>515617</xdr:colOff>
      <xdr:row>25</xdr:row>
      <xdr:rowOff>99706</xdr:rowOff>
    </xdr:to>
    <xdr:graphicFrame macro="">
      <xdr:nvGraphicFramePr>
        <xdr:cNvPr id="32" name="Chart 31">
          <a:extLst>
            <a:ext uri="{FF2B5EF4-FFF2-40B4-BE49-F238E27FC236}">
              <a16:creationId xmlns:a16="http://schemas.microsoft.com/office/drawing/2014/main" id="{E69435B5-6F62-4C1E-8A78-1011BA402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234837</xdr:colOff>
      <xdr:row>26</xdr:row>
      <xdr:rowOff>46777</xdr:rowOff>
    </xdr:from>
    <xdr:to>
      <xdr:col>5</xdr:col>
      <xdr:colOff>382350</xdr:colOff>
      <xdr:row>40</xdr:row>
      <xdr:rowOff>89217</xdr:rowOff>
    </xdr:to>
    <mc:AlternateContent xmlns:mc="http://schemas.openxmlformats.org/markup-compatibility/2006">
      <mc:Choice xmlns:cx2="http://schemas.microsoft.com/office/drawing/2015/10/21/chartex" Requires="cx2">
        <xdr:graphicFrame macro="">
          <xdr:nvGraphicFramePr>
            <xdr:cNvPr id="33" name="Chart 32">
              <a:extLst>
                <a:ext uri="{FF2B5EF4-FFF2-40B4-BE49-F238E27FC236}">
                  <a16:creationId xmlns:a16="http://schemas.microsoft.com/office/drawing/2014/main" id="{CA8D53A1-8E31-4A0C-8735-6991886295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34837" y="4999777"/>
              <a:ext cx="3195513" cy="2709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535961</xdr:colOff>
      <xdr:row>26</xdr:row>
      <xdr:rowOff>69368</xdr:rowOff>
    </xdr:from>
    <xdr:to>
      <xdr:col>12</xdr:col>
      <xdr:colOff>497251</xdr:colOff>
      <xdr:row>40</xdr:row>
      <xdr:rowOff>83560</xdr:rowOff>
    </xdr:to>
    <xdr:graphicFrame macro="">
      <xdr:nvGraphicFramePr>
        <xdr:cNvPr id="34" name="Chart 33">
          <a:extLst>
            <a:ext uri="{FF2B5EF4-FFF2-40B4-BE49-F238E27FC236}">
              <a16:creationId xmlns:a16="http://schemas.microsoft.com/office/drawing/2014/main" id="{2D07F3C8-A085-400B-94B3-773C0FE9C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94236</xdr:colOff>
      <xdr:row>26</xdr:row>
      <xdr:rowOff>18984</xdr:rowOff>
    </xdr:from>
    <xdr:to>
      <xdr:col>19</xdr:col>
      <xdr:colOff>105683</xdr:colOff>
      <xdr:row>40</xdr:row>
      <xdr:rowOff>51272</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28450BB6-B5D1-4477-B34E-55C1CD1723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019036" y="4971984"/>
              <a:ext cx="3669047" cy="26992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57253</xdr:colOff>
      <xdr:row>11</xdr:row>
      <xdr:rowOff>112619</xdr:rowOff>
    </xdr:from>
    <xdr:to>
      <xdr:col>19</xdr:col>
      <xdr:colOff>41107</xdr:colOff>
      <xdr:row>25</xdr:row>
      <xdr:rowOff>51273</xdr:rowOff>
    </xdr:to>
    <xdr:graphicFrame macro="">
      <xdr:nvGraphicFramePr>
        <xdr:cNvPr id="37" name="Chart 36">
          <a:extLst>
            <a:ext uri="{FF2B5EF4-FFF2-40B4-BE49-F238E27FC236}">
              <a16:creationId xmlns:a16="http://schemas.microsoft.com/office/drawing/2014/main" id="{037D76C2-5630-46B9-A413-FC7623BFA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444708</xdr:colOff>
      <xdr:row>7</xdr:row>
      <xdr:rowOff>164579</xdr:rowOff>
    </xdr:from>
    <xdr:to>
      <xdr:col>1</xdr:col>
      <xdr:colOff>493140</xdr:colOff>
      <xdr:row>11</xdr:row>
      <xdr:rowOff>51272</xdr:rowOff>
    </xdr:to>
    <xdr:pic>
      <xdr:nvPicPr>
        <xdr:cNvPr id="10" name="Graphic 9" descr="Users with solid fill">
          <a:extLst>
            <a:ext uri="{FF2B5EF4-FFF2-40B4-BE49-F238E27FC236}">
              <a16:creationId xmlns:a16="http://schemas.microsoft.com/office/drawing/2014/main" id="{7586AFFD-D596-F197-41D5-90336F4A4C7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4708" y="1522773"/>
          <a:ext cx="656974" cy="662805"/>
        </a:xfrm>
        <a:prstGeom prst="rect">
          <a:avLst/>
        </a:prstGeom>
      </xdr:spPr>
    </xdr:pic>
    <xdr:clientData/>
  </xdr:twoCellAnchor>
  <xdr:twoCellAnchor editAs="oneCell">
    <xdr:from>
      <xdr:col>15</xdr:col>
      <xdr:colOff>110386</xdr:colOff>
      <xdr:row>7</xdr:row>
      <xdr:rowOff>136995</xdr:rowOff>
    </xdr:from>
    <xdr:to>
      <xdr:col>16</xdr:col>
      <xdr:colOff>8820</xdr:colOff>
      <xdr:row>10</xdr:row>
      <xdr:rowOff>67418</xdr:rowOff>
    </xdr:to>
    <xdr:pic>
      <xdr:nvPicPr>
        <xdr:cNvPr id="12" name="Graphic 11" descr="Heart organ with solid fill">
          <a:extLst>
            <a:ext uri="{FF2B5EF4-FFF2-40B4-BE49-F238E27FC236}">
              <a16:creationId xmlns:a16="http://schemas.microsoft.com/office/drawing/2014/main" id="{B5093AEC-4180-50B7-7934-80E1765398A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312505" y="1493097"/>
          <a:ext cx="511908" cy="511609"/>
        </a:xfrm>
        <a:prstGeom prst="rect">
          <a:avLst/>
        </a:prstGeom>
      </xdr:spPr>
    </xdr:pic>
    <xdr:clientData/>
  </xdr:twoCellAnchor>
  <xdr:twoCellAnchor editAs="oneCell">
    <xdr:from>
      <xdr:col>11</xdr:col>
      <xdr:colOff>359741</xdr:colOff>
      <xdr:row>7</xdr:row>
      <xdr:rowOff>132293</xdr:rowOff>
    </xdr:from>
    <xdr:to>
      <xdr:col>12</xdr:col>
      <xdr:colOff>359741</xdr:colOff>
      <xdr:row>10</xdr:row>
      <xdr:rowOff>182424</xdr:rowOff>
    </xdr:to>
    <xdr:pic>
      <xdr:nvPicPr>
        <xdr:cNvPr id="29" name="Graphic 28" descr="Sleep with solid fill">
          <a:extLst>
            <a:ext uri="{FF2B5EF4-FFF2-40B4-BE49-F238E27FC236}">
              <a16:creationId xmlns:a16="http://schemas.microsoft.com/office/drawing/2014/main" id="{4B3F71E7-4F8B-1CA8-8C9C-4AD441EFAA5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053699" y="1490487"/>
          <a:ext cx="608542" cy="632215"/>
        </a:xfrm>
        <a:prstGeom prst="rect">
          <a:avLst/>
        </a:prstGeom>
      </xdr:spPr>
    </xdr:pic>
    <xdr:clientData/>
  </xdr:twoCellAnchor>
  <xdr:twoCellAnchor editAs="oneCell">
    <xdr:from>
      <xdr:col>3</xdr:col>
      <xdr:colOff>593688</xdr:colOff>
      <xdr:row>7</xdr:row>
      <xdr:rowOff>21816</xdr:rowOff>
    </xdr:from>
    <xdr:to>
      <xdr:col>5</xdr:col>
      <xdr:colOff>75662</xdr:colOff>
      <xdr:row>10</xdr:row>
      <xdr:rowOff>165713</xdr:rowOff>
    </xdr:to>
    <xdr:pic>
      <xdr:nvPicPr>
        <xdr:cNvPr id="39" name="Graphic 38" descr="Money with solid fill">
          <a:extLst>
            <a:ext uri="{FF2B5EF4-FFF2-40B4-BE49-F238E27FC236}">
              <a16:creationId xmlns:a16="http://schemas.microsoft.com/office/drawing/2014/main" id="{ADCFEAFB-D1B6-3A6D-ECB5-6054FC486DF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419313" y="1380010"/>
          <a:ext cx="699057" cy="725981"/>
        </a:xfrm>
        <a:prstGeom prst="rect">
          <a:avLst/>
        </a:prstGeom>
      </xdr:spPr>
    </xdr:pic>
    <xdr:clientData/>
  </xdr:twoCellAnchor>
  <xdr:twoCellAnchor editAs="oneCell">
    <xdr:from>
      <xdr:col>8</xdr:col>
      <xdr:colOff>64834</xdr:colOff>
      <xdr:row>7</xdr:row>
      <xdr:rowOff>79158</xdr:rowOff>
    </xdr:from>
    <xdr:to>
      <xdr:col>9</xdr:col>
      <xdr:colOff>38429</xdr:colOff>
      <xdr:row>10</xdr:row>
      <xdr:rowOff>96865</xdr:rowOff>
    </xdr:to>
    <xdr:pic>
      <xdr:nvPicPr>
        <xdr:cNvPr id="44" name="Graphic 43" descr="User with solid fill">
          <a:extLst>
            <a:ext uri="{FF2B5EF4-FFF2-40B4-BE49-F238E27FC236}">
              <a16:creationId xmlns:a16="http://schemas.microsoft.com/office/drawing/2014/main" id="{DECEAEB1-DD95-A032-8E28-CD5BFB2A45A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972631" y="1435260"/>
          <a:ext cx="587069" cy="598893"/>
        </a:xfrm>
        <a:prstGeom prst="rect">
          <a:avLst/>
        </a:prstGeom>
      </xdr:spPr>
    </xdr:pic>
    <xdr:clientData/>
  </xdr:twoCellAnchor>
  <xdr:twoCellAnchor editAs="oneCell">
    <xdr:from>
      <xdr:col>1</xdr:col>
      <xdr:colOff>207696</xdr:colOff>
      <xdr:row>0</xdr:row>
      <xdr:rowOff>48043</xdr:rowOff>
    </xdr:from>
    <xdr:to>
      <xdr:col>2</xdr:col>
      <xdr:colOff>587121</xdr:colOff>
      <xdr:row>5</xdr:row>
      <xdr:rowOff>116537</xdr:rowOff>
    </xdr:to>
    <xdr:pic>
      <xdr:nvPicPr>
        <xdr:cNvPr id="45" name="Graphic 44" descr="Heart with pulse with solid fill">
          <a:extLst>
            <a:ext uri="{FF2B5EF4-FFF2-40B4-BE49-F238E27FC236}">
              <a16:creationId xmlns:a16="http://schemas.microsoft.com/office/drawing/2014/main" id="{72D21B3D-847D-4CE0-8F05-AEA3B37CBD5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16238" y="48043"/>
          <a:ext cx="987966" cy="10386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38.024806365742" createdVersion="8" refreshedVersion="8" minRefreshableVersion="3" recordCount="200" xr:uid="{CC0923C1-DD2B-4540-92D7-14CCC999526B}">
  <cacheSource type="worksheet">
    <worksheetSource name="Table1"/>
  </cacheSource>
  <cacheFields count="11">
    <cacheField name="Patient ID" numFmtId="0">
      <sharedItems/>
    </cacheField>
    <cacheField name="Department" numFmtId="0">
      <sharedItems count="6">
        <s v="Gastroenterology"/>
        <s v="Pediatrics"/>
        <s v="Orthopedics"/>
        <s v="Cardiology"/>
        <s v="Neurology"/>
        <s v="Oncology"/>
      </sharedItems>
    </cacheField>
    <cacheField name="Treatment Type" numFmtId="0">
      <sharedItems count="4">
        <s v="Therapy"/>
        <s v="Medication"/>
        <s v="Observation"/>
        <s v="Surgery"/>
      </sharedItems>
    </cacheField>
    <cacheField name="Doctor Name" numFmtId="0">
      <sharedItems count="5">
        <s v="Dr. L. Khan"/>
        <s v="Dr. M. Patel"/>
        <s v="Dr. T. Mehta"/>
        <s v="Dr. A. Sharma"/>
        <s v="Dr. R. Singh"/>
      </sharedItems>
    </cacheField>
    <cacheField name="Gender" numFmtId="0">
      <sharedItems count="3">
        <s v="Female"/>
        <s v="Male"/>
        <s v="Other"/>
      </sharedItems>
    </cacheField>
    <cacheField name="Age" numFmtId="0">
      <sharedItems containsSemiMixedTypes="0" containsString="0" containsNumber="1" containsInteger="1" minValue="1" maxValue="90"/>
    </cacheField>
    <cacheField name="Treatment Cost" numFmtId="0">
      <sharedItems containsSemiMixedTypes="0" containsString="0" containsNumber="1" minValue="5444.8" maxValue="149340.16"/>
    </cacheField>
    <cacheField name="Hospital Stay (Days)" numFmtId="0">
      <sharedItems containsSemiMixedTypes="0" containsString="0" containsNumber="1" containsInteger="1" minValue="1" maxValue="30"/>
    </cacheField>
    <cacheField name="Recovery Score" numFmtId="0">
      <sharedItems containsSemiMixedTypes="0" containsString="0" containsNumber="1" containsInteger="1" minValue="40" maxValue="100"/>
    </cacheField>
    <cacheField name="Cost " numFmtId="0">
      <sharedItems count="2">
        <s v="Low Cost"/>
        <s v="high cost"/>
      </sharedItems>
    </cacheField>
    <cacheField name="Age treatment" numFmtId="0">
      <sharedItems count="8">
        <s v="Child"/>
        <s v="Middle-aged"/>
        <s v="Elderly"/>
        <s v="Young Adult"/>
        <s v="Adult"/>
        <s v="Senior"/>
        <s v="Teenager"/>
        <s v="Infant / Toddler"/>
      </sharedItems>
    </cacheField>
  </cacheFields>
  <extLst>
    <ext xmlns:x14="http://schemas.microsoft.com/office/spreadsheetml/2009/9/main" uri="{725AE2AE-9491-48be-B2B4-4EB974FC3084}">
      <x14:pivotCacheDefinition pivotCacheId="1368954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1001"/>
    <x v="0"/>
    <x v="0"/>
    <x v="0"/>
    <x v="0"/>
    <n v="12"/>
    <n v="68632.97"/>
    <n v="21"/>
    <n v="82"/>
    <x v="0"/>
    <x v="0"/>
  </r>
  <r>
    <s v="P1002"/>
    <x v="1"/>
    <x v="1"/>
    <x v="1"/>
    <x v="1"/>
    <n v="52"/>
    <n v="10231.42"/>
    <n v="20"/>
    <n v="42"/>
    <x v="0"/>
    <x v="1"/>
  </r>
  <r>
    <s v="P1003"/>
    <x v="1"/>
    <x v="0"/>
    <x v="0"/>
    <x v="1"/>
    <n v="79"/>
    <n v="10160.24"/>
    <n v="2"/>
    <n v="72"/>
    <x v="0"/>
    <x v="2"/>
  </r>
  <r>
    <s v="P1004"/>
    <x v="1"/>
    <x v="0"/>
    <x v="0"/>
    <x v="0"/>
    <n v="23"/>
    <n v="103508.96"/>
    <n v="20"/>
    <n v="50"/>
    <x v="1"/>
    <x v="3"/>
  </r>
  <r>
    <s v="P1005"/>
    <x v="2"/>
    <x v="1"/>
    <x v="2"/>
    <x v="0"/>
    <n v="7"/>
    <n v="143427.51999999999"/>
    <n v="6"/>
    <n v="43"/>
    <x v="1"/>
    <x v="0"/>
  </r>
  <r>
    <s v="P1006"/>
    <x v="3"/>
    <x v="1"/>
    <x v="3"/>
    <x v="0"/>
    <n v="78"/>
    <n v="146252.19"/>
    <n v="9"/>
    <n v="41"/>
    <x v="1"/>
    <x v="2"/>
  </r>
  <r>
    <s v="P1007"/>
    <x v="3"/>
    <x v="2"/>
    <x v="1"/>
    <x v="2"/>
    <n v="30"/>
    <n v="54393.48"/>
    <n v="1"/>
    <n v="42"/>
    <x v="0"/>
    <x v="4"/>
  </r>
  <r>
    <s v="P1008"/>
    <x v="4"/>
    <x v="2"/>
    <x v="4"/>
    <x v="2"/>
    <n v="68"/>
    <n v="30452.22"/>
    <n v="6"/>
    <n v="77"/>
    <x v="0"/>
    <x v="5"/>
  </r>
  <r>
    <s v="P1009"/>
    <x v="0"/>
    <x v="2"/>
    <x v="0"/>
    <x v="2"/>
    <n v="41"/>
    <n v="79517.25"/>
    <n v="9"/>
    <n v="62"/>
    <x v="1"/>
    <x v="4"/>
  </r>
  <r>
    <s v="P1010"/>
    <x v="1"/>
    <x v="1"/>
    <x v="2"/>
    <x v="2"/>
    <n v="56"/>
    <n v="116558.38"/>
    <n v="24"/>
    <n v="48"/>
    <x v="1"/>
    <x v="1"/>
  </r>
  <r>
    <s v="P1011"/>
    <x v="5"/>
    <x v="1"/>
    <x v="2"/>
    <x v="0"/>
    <n v="24"/>
    <n v="135883.74"/>
    <n v="15"/>
    <n v="54"/>
    <x v="1"/>
    <x v="3"/>
  </r>
  <r>
    <s v="P1012"/>
    <x v="1"/>
    <x v="2"/>
    <x v="1"/>
    <x v="0"/>
    <n v="62"/>
    <n v="148179.98000000001"/>
    <n v="11"/>
    <n v="87"/>
    <x v="1"/>
    <x v="5"/>
  </r>
  <r>
    <s v="P1013"/>
    <x v="3"/>
    <x v="2"/>
    <x v="4"/>
    <x v="0"/>
    <n v="65"/>
    <n v="20591.650000000001"/>
    <n v="28"/>
    <n v="52"/>
    <x v="0"/>
    <x v="5"/>
  </r>
  <r>
    <s v="P1014"/>
    <x v="0"/>
    <x v="2"/>
    <x v="0"/>
    <x v="0"/>
    <n v="13"/>
    <n v="59149.07"/>
    <n v="19"/>
    <n v="86"/>
    <x v="0"/>
    <x v="6"/>
  </r>
  <r>
    <s v="P1015"/>
    <x v="0"/>
    <x v="3"/>
    <x v="3"/>
    <x v="1"/>
    <n v="39"/>
    <n v="59335.72"/>
    <n v="28"/>
    <n v="80"/>
    <x v="0"/>
    <x v="4"/>
  </r>
  <r>
    <s v="P1016"/>
    <x v="2"/>
    <x v="1"/>
    <x v="0"/>
    <x v="1"/>
    <n v="85"/>
    <n v="101936.34"/>
    <n v="27"/>
    <n v="99"/>
    <x v="1"/>
    <x v="2"/>
  </r>
  <r>
    <s v="P1017"/>
    <x v="2"/>
    <x v="3"/>
    <x v="0"/>
    <x v="1"/>
    <n v="52"/>
    <n v="107481.12"/>
    <n v="8"/>
    <n v="93"/>
    <x v="1"/>
    <x v="1"/>
  </r>
  <r>
    <s v="P1018"/>
    <x v="5"/>
    <x v="0"/>
    <x v="2"/>
    <x v="1"/>
    <n v="25"/>
    <n v="142574.53"/>
    <n v="30"/>
    <n v="99"/>
    <x v="1"/>
    <x v="3"/>
  </r>
  <r>
    <s v="P1019"/>
    <x v="1"/>
    <x v="3"/>
    <x v="2"/>
    <x v="1"/>
    <n v="1"/>
    <n v="43174.44"/>
    <n v="24"/>
    <n v="100"/>
    <x v="0"/>
    <x v="7"/>
  </r>
  <r>
    <s v="P1020"/>
    <x v="4"/>
    <x v="1"/>
    <x v="0"/>
    <x v="0"/>
    <n v="3"/>
    <n v="125171.58"/>
    <n v="30"/>
    <n v="89"/>
    <x v="1"/>
    <x v="7"/>
  </r>
  <r>
    <s v="P1021"/>
    <x v="1"/>
    <x v="0"/>
    <x v="3"/>
    <x v="1"/>
    <n v="31"/>
    <n v="51842.34"/>
    <n v="15"/>
    <n v="74"/>
    <x v="0"/>
    <x v="4"/>
  </r>
  <r>
    <s v="P1022"/>
    <x v="5"/>
    <x v="0"/>
    <x v="3"/>
    <x v="1"/>
    <n v="66"/>
    <n v="30547.73"/>
    <n v="11"/>
    <n v="47"/>
    <x v="0"/>
    <x v="5"/>
  </r>
  <r>
    <s v="P1023"/>
    <x v="2"/>
    <x v="0"/>
    <x v="4"/>
    <x v="1"/>
    <n v="68"/>
    <n v="68961.679999999993"/>
    <n v="5"/>
    <n v="67"/>
    <x v="0"/>
    <x v="5"/>
  </r>
  <r>
    <s v="P1024"/>
    <x v="5"/>
    <x v="0"/>
    <x v="4"/>
    <x v="2"/>
    <n v="75"/>
    <n v="89887.05"/>
    <n v="28"/>
    <n v="92"/>
    <x v="1"/>
    <x v="2"/>
  </r>
  <r>
    <s v="P1025"/>
    <x v="1"/>
    <x v="1"/>
    <x v="0"/>
    <x v="1"/>
    <n v="35"/>
    <n v="54350.5"/>
    <n v="24"/>
    <n v="70"/>
    <x v="0"/>
    <x v="4"/>
  </r>
  <r>
    <s v="P1026"/>
    <x v="4"/>
    <x v="0"/>
    <x v="2"/>
    <x v="1"/>
    <n v="56"/>
    <n v="47635.12"/>
    <n v="3"/>
    <n v="47"/>
    <x v="0"/>
    <x v="1"/>
  </r>
  <r>
    <s v="P1027"/>
    <x v="2"/>
    <x v="3"/>
    <x v="2"/>
    <x v="2"/>
    <n v="34"/>
    <n v="136077.99"/>
    <n v="25"/>
    <n v="58"/>
    <x v="1"/>
    <x v="4"/>
  </r>
  <r>
    <s v="P1028"/>
    <x v="3"/>
    <x v="0"/>
    <x v="2"/>
    <x v="1"/>
    <n v="31"/>
    <n v="103276.56"/>
    <n v="30"/>
    <n v="84"/>
    <x v="1"/>
    <x v="4"/>
  </r>
  <r>
    <s v="P1029"/>
    <x v="0"/>
    <x v="3"/>
    <x v="3"/>
    <x v="1"/>
    <n v="25"/>
    <n v="38676.85"/>
    <n v="9"/>
    <n v="70"/>
    <x v="0"/>
    <x v="3"/>
  </r>
  <r>
    <s v="P1030"/>
    <x v="0"/>
    <x v="3"/>
    <x v="4"/>
    <x v="2"/>
    <n v="86"/>
    <n v="35788.22"/>
    <n v="3"/>
    <n v="66"/>
    <x v="0"/>
    <x v="2"/>
  </r>
  <r>
    <s v="P1031"/>
    <x v="5"/>
    <x v="1"/>
    <x v="0"/>
    <x v="1"/>
    <n v="79"/>
    <n v="140415.63"/>
    <n v="16"/>
    <n v="67"/>
    <x v="1"/>
    <x v="2"/>
  </r>
  <r>
    <s v="P1032"/>
    <x v="2"/>
    <x v="3"/>
    <x v="3"/>
    <x v="1"/>
    <n v="51"/>
    <n v="143365.82999999999"/>
    <n v="1"/>
    <n v="58"/>
    <x v="1"/>
    <x v="1"/>
  </r>
  <r>
    <s v="P1033"/>
    <x v="0"/>
    <x v="1"/>
    <x v="1"/>
    <x v="1"/>
    <n v="1"/>
    <n v="101058.07"/>
    <n v="4"/>
    <n v="81"/>
    <x v="1"/>
    <x v="7"/>
  </r>
  <r>
    <s v="P1034"/>
    <x v="2"/>
    <x v="0"/>
    <x v="0"/>
    <x v="2"/>
    <n v="58"/>
    <n v="41426.04"/>
    <n v="6"/>
    <n v="67"/>
    <x v="0"/>
    <x v="1"/>
  </r>
  <r>
    <s v="P1035"/>
    <x v="2"/>
    <x v="2"/>
    <x v="1"/>
    <x v="0"/>
    <n v="15"/>
    <n v="131454.59"/>
    <n v="30"/>
    <n v="83"/>
    <x v="1"/>
    <x v="6"/>
  </r>
  <r>
    <s v="P1036"/>
    <x v="0"/>
    <x v="1"/>
    <x v="4"/>
    <x v="0"/>
    <n v="5"/>
    <n v="48581.36"/>
    <n v="16"/>
    <n v="40"/>
    <x v="0"/>
    <x v="7"/>
  </r>
  <r>
    <s v="P1037"/>
    <x v="1"/>
    <x v="0"/>
    <x v="1"/>
    <x v="0"/>
    <n v="41"/>
    <n v="143381.07"/>
    <n v="1"/>
    <n v="87"/>
    <x v="1"/>
    <x v="4"/>
  </r>
  <r>
    <s v="P1038"/>
    <x v="1"/>
    <x v="0"/>
    <x v="1"/>
    <x v="1"/>
    <n v="3"/>
    <n v="50045.440000000002"/>
    <n v="15"/>
    <n v="84"/>
    <x v="0"/>
    <x v="7"/>
  </r>
  <r>
    <s v="P1039"/>
    <x v="2"/>
    <x v="0"/>
    <x v="1"/>
    <x v="2"/>
    <n v="58"/>
    <n v="86479.95"/>
    <n v="1"/>
    <n v="75"/>
    <x v="1"/>
    <x v="1"/>
  </r>
  <r>
    <s v="P1040"/>
    <x v="1"/>
    <x v="3"/>
    <x v="2"/>
    <x v="1"/>
    <n v="14"/>
    <n v="9067.3799999999992"/>
    <n v="28"/>
    <n v="86"/>
    <x v="0"/>
    <x v="6"/>
  </r>
  <r>
    <s v="P1041"/>
    <x v="1"/>
    <x v="2"/>
    <x v="2"/>
    <x v="1"/>
    <n v="31"/>
    <n v="113414.83"/>
    <n v="8"/>
    <n v="70"/>
    <x v="1"/>
    <x v="4"/>
  </r>
  <r>
    <s v="P1042"/>
    <x v="4"/>
    <x v="1"/>
    <x v="0"/>
    <x v="1"/>
    <n v="85"/>
    <n v="78946.19"/>
    <n v="3"/>
    <n v="48"/>
    <x v="1"/>
    <x v="2"/>
  </r>
  <r>
    <s v="P1043"/>
    <x v="0"/>
    <x v="0"/>
    <x v="3"/>
    <x v="1"/>
    <n v="22"/>
    <n v="100035.91"/>
    <n v="29"/>
    <n v="70"/>
    <x v="1"/>
    <x v="3"/>
  </r>
  <r>
    <s v="P1044"/>
    <x v="1"/>
    <x v="2"/>
    <x v="2"/>
    <x v="1"/>
    <n v="62"/>
    <n v="149340.16"/>
    <n v="18"/>
    <n v="49"/>
    <x v="1"/>
    <x v="5"/>
  </r>
  <r>
    <s v="P1045"/>
    <x v="0"/>
    <x v="0"/>
    <x v="0"/>
    <x v="0"/>
    <n v="79"/>
    <n v="105328.19"/>
    <n v="26"/>
    <n v="94"/>
    <x v="1"/>
    <x v="2"/>
  </r>
  <r>
    <s v="P1046"/>
    <x v="0"/>
    <x v="2"/>
    <x v="0"/>
    <x v="2"/>
    <n v="19"/>
    <n v="21826.12"/>
    <n v="17"/>
    <n v="48"/>
    <x v="0"/>
    <x v="6"/>
  </r>
  <r>
    <s v="P1047"/>
    <x v="5"/>
    <x v="0"/>
    <x v="4"/>
    <x v="1"/>
    <n v="37"/>
    <n v="77556.53"/>
    <n v="24"/>
    <n v="87"/>
    <x v="1"/>
    <x v="4"/>
  </r>
  <r>
    <s v="P1048"/>
    <x v="5"/>
    <x v="2"/>
    <x v="3"/>
    <x v="1"/>
    <n v="30"/>
    <n v="53806.86"/>
    <n v="21"/>
    <n v="82"/>
    <x v="0"/>
    <x v="4"/>
  </r>
  <r>
    <s v="P1049"/>
    <x v="1"/>
    <x v="3"/>
    <x v="0"/>
    <x v="1"/>
    <n v="66"/>
    <n v="84096.91"/>
    <n v="18"/>
    <n v="91"/>
    <x v="1"/>
    <x v="5"/>
  </r>
  <r>
    <s v="P1050"/>
    <x v="0"/>
    <x v="2"/>
    <x v="0"/>
    <x v="1"/>
    <n v="22"/>
    <n v="46384.67"/>
    <n v="3"/>
    <n v="84"/>
    <x v="0"/>
    <x v="3"/>
  </r>
  <r>
    <s v="P1051"/>
    <x v="0"/>
    <x v="2"/>
    <x v="1"/>
    <x v="1"/>
    <n v="60"/>
    <n v="122442.43"/>
    <n v="6"/>
    <n v="94"/>
    <x v="1"/>
    <x v="5"/>
  </r>
  <r>
    <s v="P1052"/>
    <x v="4"/>
    <x v="1"/>
    <x v="0"/>
    <x v="2"/>
    <n v="35"/>
    <n v="73863.679999999993"/>
    <n v="17"/>
    <n v="42"/>
    <x v="0"/>
    <x v="4"/>
  </r>
  <r>
    <s v="P1053"/>
    <x v="2"/>
    <x v="0"/>
    <x v="2"/>
    <x v="0"/>
    <n v="21"/>
    <n v="75334.19"/>
    <n v="23"/>
    <n v="51"/>
    <x v="1"/>
    <x v="3"/>
  </r>
  <r>
    <s v="P1054"/>
    <x v="4"/>
    <x v="2"/>
    <x v="1"/>
    <x v="2"/>
    <n v="51"/>
    <n v="59829.99"/>
    <n v="2"/>
    <n v="40"/>
    <x v="0"/>
    <x v="1"/>
  </r>
  <r>
    <s v="P1055"/>
    <x v="4"/>
    <x v="2"/>
    <x v="4"/>
    <x v="0"/>
    <n v="87"/>
    <n v="5444.8"/>
    <n v="5"/>
    <n v="42"/>
    <x v="0"/>
    <x v="2"/>
  </r>
  <r>
    <s v="P1056"/>
    <x v="3"/>
    <x v="0"/>
    <x v="1"/>
    <x v="1"/>
    <n v="11"/>
    <n v="39022.85"/>
    <n v="8"/>
    <n v="96"/>
    <x v="0"/>
    <x v="0"/>
  </r>
  <r>
    <s v="P1057"/>
    <x v="1"/>
    <x v="0"/>
    <x v="0"/>
    <x v="1"/>
    <n v="7"/>
    <n v="127110.45"/>
    <n v="30"/>
    <n v="100"/>
    <x v="1"/>
    <x v="0"/>
  </r>
  <r>
    <s v="P1058"/>
    <x v="3"/>
    <x v="1"/>
    <x v="1"/>
    <x v="2"/>
    <n v="80"/>
    <n v="120082.46"/>
    <n v="16"/>
    <n v="93"/>
    <x v="1"/>
    <x v="2"/>
  </r>
  <r>
    <s v="P1059"/>
    <x v="1"/>
    <x v="2"/>
    <x v="1"/>
    <x v="1"/>
    <n v="75"/>
    <n v="79671.37"/>
    <n v="30"/>
    <n v="43"/>
    <x v="1"/>
    <x v="2"/>
  </r>
  <r>
    <s v="P1060"/>
    <x v="0"/>
    <x v="3"/>
    <x v="0"/>
    <x v="1"/>
    <n v="7"/>
    <n v="66277.52"/>
    <n v="26"/>
    <n v="69"/>
    <x v="0"/>
    <x v="0"/>
  </r>
  <r>
    <s v="P1061"/>
    <x v="2"/>
    <x v="0"/>
    <x v="4"/>
    <x v="0"/>
    <n v="14"/>
    <n v="12241.3"/>
    <n v="20"/>
    <n v="40"/>
    <x v="0"/>
    <x v="6"/>
  </r>
  <r>
    <s v="P1062"/>
    <x v="5"/>
    <x v="2"/>
    <x v="1"/>
    <x v="1"/>
    <n v="22"/>
    <n v="133882.43"/>
    <n v="29"/>
    <n v="63"/>
    <x v="1"/>
    <x v="3"/>
  </r>
  <r>
    <s v="P1063"/>
    <x v="3"/>
    <x v="3"/>
    <x v="0"/>
    <x v="2"/>
    <n v="73"/>
    <n v="148488.95000000001"/>
    <n v="22"/>
    <n v="77"/>
    <x v="1"/>
    <x v="5"/>
  </r>
  <r>
    <s v="P1064"/>
    <x v="4"/>
    <x v="1"/>
    <x v="0"/>
    <x v="2"/>
    <n v="5"/>
    <n v="74239.37"/>
    <n v="7"/>
    <n v="61"/>
    <x v="0"/>
    <x v="7"/>
  </r>
  <r>
    <s v="P1065"/>
    <x v="2"/>
    <x v="1"/>
    <x v="4"/>
    <x v="1"/>
    <n v="6"/>
    <n v="98732.94"/>
    <n v="25"/>
    <n v="45"/>
    <x v="1"/>
    <x v="0"/>
  </r>
  <r>
    <s v="P1066"/>
    <x v="0"/>
    <x v="0"/>
    <x v="2"/>
    <x v="0"/>
    <n v="4"/>
    <n v="66339.33"/>
    <n v="5"/>
    <n v="77"/>
    <x v="0"/>
    <x v="7"/>
  </r>
  <r>
    <s v="P1067"/>
    <x v="0"/>
    <x v="1"/>
    <x v="4"/>
    <x v="1"/>
    <n v="14"/>
    <n v="113363.27"/>
    <n v="9"/>
    <n v="74"/>
    <x v="1"/>
    <x v="6"/>
  </r>
  <r>
    <s v="P1068"/>
    <x v="0"/>
    <x v="1"/>
    <x v="4"/>
    <x v="0"/>
    <n v="11"/>
    <n v="24492.09"/>
    <n v="8"/>
    <n v="58"/>
    <x v="0"/>
    <x v="0"/>
  </r>
  <r>
    <s v="P1069"/>
    <x v="3"/>
    <x v="1"/>
    <x v="4"/>
    <x v="0"/>
    <n v="19"/>
    <n v="42080.85"/>
    <n v="29"/>
    <n v="65"/>
    <x v="0"/>
    <x v="6"/>
  </r>
  <r>
    <s v="P1070"/>
    <x v="4"/>
    <x v="1"/>
    <x v="2"/>
    <x v="2"/>
    <n v="56"/>
    <n v="147658.16"/>
    <n v="11"/>
    <n v="96"/>
    <x v="1"/>
    <x v="1"/>
  </r>
  <r>
    <s v="P1071"/>
    <x v="2"/>
    <x v="1"/>
    <x v="0"/>
    <x v="0"/>
    <n v="40"/>
    <n v="79386.600000000006"/>
    <n v="21"/>
    <n v="67"/>
    <x v="1"/>
    <x v="4"/>
  </r>
  <r>
    <s v="P1072"/>
    <x v="5"/>
    <x v="3"/>
    <x v="1"/>
    <x v="1"/>
    <n v="6"/>
    <n v="22175.37"/>
    <n v="17"/>
    <n v="82"/>
    <x v="0"/>
    <x v="0"/>
  </r>
  <r>
    <s v="P1073"/>
    <x v="4"/>
    <x v="2"/>
    <x v="0"/>
    <x v="2"/>
    <n v="62"/>
    <n v="16296.15"/>
    <n v="28"/>
    <n v="63"/>
    <x v="0"/>
    <x v="5"/>
  </r>
  <r>
    <s v="P1074"/>
    <x v="4"/>
    <x v="3"/>
    <x v="0"/>
    <x v="2"/>
    <n v="56"/>
    <n v="120488.57"/>
    <n v="30"/>
    <n v="48"/>
    <x v="1"/>
    <x v="1"/>
  </r>
  <r>
    <s v="P1075"/>
    <x v="2"/>
    <x v="2"/>
    <x v="0"/>
    <x v="0"/>
    <n v="8"/>
    <n v="111873.66"/>
    <n v="16"/>
    <n v="74"/>
    <x v="1"/>
    <x v="0"/>
  </r>
  <r>
    <s v="P1076"/>
    <x v="2"/>
    <x v="1"/>
    <x v="2"/>
    <x v="1"/>
    <n v="62"/>
    <n v="27610.65"/>
    <n v="26"/>
    <n v="72"/>
    <x v="0"/>
    <x v="5"/>
  </r>
  <r>
    <s v="P1077"/>
    <x v="2"/>
    <x v="3"/>
    <x v="4"/>
    <x v="2"/>
    <n v="17"/>
    <n v="142458.98000000001"/>
    <n v="6"/>
    <n v="69"/>
    <x v="1"/>
    <x v="6"/>
  </r>
  <r>
    <s v="P1078"/>
    <x v="2"/>
    <x v="0"/>
    <x v="2"/>
    <x v="2"/>
    <n v="7"/>
    <n v="23799.83"/>
    <n v="26"/>
    <n v="52"/>
    <x v="0"/>
    <x v="0"/>
  </r>
  <r>
    <s v="P1079"/>
    <x v="5"/>
    <x v="3"/>
    <x v="0"/>
    <x v="2"/>
    <n v="49"/>
    <n v="117019.47"/>
    <n v="28"/>
    <n v="63"/>
    <x v="1"/>
    <x v="1"/>
  </r>
  <r>
    <s v="P1080"/>
    <x v="5"/>
    <x v="0"/>
    <x v="4"/>
    <x v="2"/>
    <n v="12"/>
    <n v="69472.05"/>
    <n v="11"/>
    <n v="68"/>
    <x v="0"/>
    <x v="0"/>
  </r>
  <r>
    <s v="P1081"/>
    <x v="3"/>
    <x v="0"/>
    <x v="4"/>
    <x v="0"/>
    <n v="5"/>
    <n v="64103.040000000001"/>
    <n v="14"/>
    <n v="42"/>
    <x v="0"/>
    <x v="7"/>
  </r>
  <r>
    <s v="P1082"/>
    <x v="2"/>
    <x v="0"/>
    <x v="0"/>
    <x v="2"/>
    <n v="13"/>
    <n v="137441.75"/>
    <n v="23"/>
    <n v="74"/>
    <x v="1"/>
    <x v="6"/>
  </r>
  <r>
    <s v="P1083"/>
    <x v="3"/>
    <x v="0"/>
    <x v="2"/>
    <x v="0"/>
    <n v="71"/>
    <n v="11066.61"/>
    <n v="17"/>
    <n v="86"/>
    <x v="0"/>
    <x v="5"/>
  </r>
  <r>
    <s v="P1084"/>
    <x v="4"/>
    <x v="1"/>
    <x v="3"/>
    <x v="0"/>
    <n v="87"/>
    <n v="36726.76"/>
    <n v="4"/>
    <n v="53"/>
    <x v="0"/>
    <x v="2"/>
  </r>
  <r>
    <s v="P1085"/>
    <x v="1"/>
    <x v="1"/>
    <x v="1"/>
    <x v="2"/>
    <n v="40"/>
    <n v="19717.900000000001"/>
    <n v="20"/>
    <n v="63"/>
    <x v="0"/>
    <x v="4"/>
  </r>
  <r>
    <s v="P1086"/>
    <x v="5"/>
    <x v="1"/>
    <x v="3"/>
    <x v="2"/>
    <n v="63"/>
    <n v="82657.039999999994"/>
    <n v="4"/>
    <n v="55"/>
    <x v="1"/>
    <x v="5"/>
  </r>
  <r>
    <s v="P1087"/>
    <x v="1"/>
    <x v="1"/>
    <x v="1"/>
    <x v="2"/>
    <n v="1"/>
    <n v="16874.009999999998"/>
    <n v="14"/>
    <n v="76"/>
    <x v="0"/>
    <x v="7"/>
  </r>
  <r>
    <s v="P1088"/>
    <x v="1"/>
    <x v="3"/>
    <x v="0"/>
    <x v="1"/>
    <n v="37"/>
    <n v="8578.83"/>
    <n v="2"/>
    <n v="90"/>
    <x v="0"/>
    <x v="4"/>
  </r>
  <r>
    <s v="P1089"/>
    <x v="5"/>
    <x v="0"/>
    <x v="1"/>
    <x v="1"/>
    <n v="7"/>
    <n v="22311.39"/>
    <n v="14"/>
    <n v="86"/>
    <x v="0"/>
    <x v="0"/>
  </r>
  <r>
    <s v="P1090"/>
    <x v="3"/>
    <x v="3"/>
    <x v="0"/>
    <x v="2"/>
    <n v="46"/>
    <n v="128560.01"/>
    <n v="7"/>
    <n v="52"/>
    <x v="1"/>
    <x v="1"/>
  </r>
  <r>
    <s v="P1091"/>
    <x v="4"/>
    <x v="0"/>
    <x v="2"/>
    <x v="2"/>
    <n v="30"/>
    <n v="147742.63"/>
    <n v="28"/>
    <n v="62"/>
    <x v="1"/>
    <x v="4"/>
  </r>
  <r>
    <s v="P1092"/>
    <x v="1"/>
    <x v="0"/>
    <x v="1"/>
    <x v="2"/>
    <n v="66"/>
    <n v="54562.1"/>
    <n v="21"/>
    <n v="86"/>
    <x v="0"/>
    <x v="5"/>
  </r>
  <r>
    <s v="P1093"/>
    <x v="5"/>
    <x v="2"/>
    <x v="2"/>
    <x v="2"/>
    <n v="1"/>
    <n v="146289.26999999999"/>
    <n v="17"/>
    <n v="47"/>
    <x v="1"/>
    <x v="7"/>
  </r>
  <r>
    <s v="P1094"/>
    <x v="4"/>
    <x v="3"/>
    <x v="4"/>
    <x v="2"/>
    <n v="89"/>
    <n v="128840.81"/>
    <n v="22"/>
    <n v="81"/>
    <x v="1"/>
    <x v="2"/>
  </r>
  <r>
    <s v="P1095"/>
    <x v="2"/>
    <x v="1"/>
    <x v="1"/>
    <x v="2"/>
    <n v="48"/>
    <n v="19629.22"/>
    <n v="2"/>
    <n v="95"/>
    <x v="0"/>
    <x v="1"/>
  </r>
  <r>
    <s v="P1096"/>
    <x v="4"/>
    <x v="2"/>
    <x v="4"/>
    <x v="0"/>
    <n v="59"/>
    <n v="73629.03"/>
    <n v="10"/>
    <n v="85"/>
    <x v="0"/>
    <x v="1"/>
  </r>
  <r>
    <s v="P1097"/>
    <x v="3"/>
    <x v="1"/>
    <x v="4"/>
    <x v="2"/>
    <n v="54"/>
    <n v="100747.7"/>
    <n v="12"/>
    <n v="74"/>
    <x v="1"/>
    <x v="1"/>
  </r>
  <r>
    <s v="P1098"/>
    <x v="1"/>
    <x v="0"/>
    <x v="0"/>
    <x v="2"/>
    <n v="35"/>
    <n v="85523.17"/>
    <n v="30"/>
    <n v="90"/>
    <x v="1"/>
    <x v="4"/>
  </r>
  <r>
    <s v="P1099"/>
    <x v="4"/>
    <x v="1"/>
    <x v="2"/>
    <x v="2"/>
    <n v="33"/>
    <n v="79151.14"/>
    <n v="2"/>
    <n v="56"/>
    <x v="1"/>
    <x v="4"/>
  </r>
  <r>
    <s v="P1100"/>
    <x v="5"/>
    <x v="0"/>
    <x v="2"/>
    <x v="0"/>
    <n v="30"/>
    <n v="115395.67"/>
    <n v="11"/>
    <n v="74"/>
    <x v="1"/>
    <x v="4"/>
  </r>
  <r>
    <s v="P1101"/>
    <x v="2"/>
    <x v="2"/>
    <x v="0"/>
    <x v="0"/>
    <n v="60"/>
    <n v="49131.44"/>
    <n v="2"/>
    <n v="44"/>
    <x v="0"/>
    <x v="5"/>
  </r>
  <r>
    <s v="P1102"/>
    <x v="4"/>
    <x v="0"/>
    <x v="2"/>
    <x v="2"/>
    <n v="70"/>
    <n v="58132.5"/>
    <n v="25"/>
    <n v="43"/>
    <x v="0"/>
    <x v="5"/>
  </r>
  <r>
    <s v="P1103"/>
    <x v="5"/>
    <x v="3"/>
    <x v="0"/>
    <x v="0"/>
    <n v="6"/>
    <n v="77311.77"/>
    <n v="19"/>
    <n v="90"/>
    <x v="1"/>
    <x v="0"/>
  </r>
  <r>
    <s v="P1104"/>
    <x v="3"/>
    <x v="2"/>
    <x v="4"/>
    <x v="2"/>
    <n v="70"/>
    <n v="14270.62"/>
    <n v="24"/>
    <n v="43"/>
    <x v="0"/>
    <x v="5"/>
  </r>
  <r>
    <s v="P1105"/>
    <x v="1"/>
    <x v="2"/>
    <x v="3"/>
    <x v="0"/>
    <n v="52"/>
    <n v="97685.72"/>
    <n v="28"/>
    <n v="59"/>
    <x v="1"/>
    <x v="1"/>
  </r>
  <r>
    <s v="P1106"/>
    <x v="0"/>
    <x v="1"/>
    <x v="2"/>
    <x v="1"/>
    <n v="64"/>
    <n v="142687.47"/>
    <n v="27"/>
    <n v="80"/>
    <x v="1"/>
    <x v="5"/>
  </r>
  <r>
    <s v="P1107"/>
    <x v="4"/>
    <x v="2"/>
    <x v="1"/>
    <x v="2"/>
    <n v="35"/>
    <n v="36754.51"/>
    <n v="27"/>
    <n v="49"/>
    <x v="0"/>
    <x v="4"/>
  </r>
  <r>
    <s v="P1108"/>
    <x v="1"/>
    <x v="1"/>
    <x v="1"/>
    <x v="2"/>
    <n v="62"/>
    <n v="34938.57"/>
    <n v="8"/>
    <n v="70"/>
    <x v="0"/>
    <x v="5"/>
  </r>
  <r>
    <s v="P1109"/>
    <x v="2"/>
    <x v="2"/>
    <x v="0"/>
    <x v="0"/>
    <n v="22"/>
    <n v="97228.49"/>
    <n v="7"/>
    <n v="60"/>
    <x v="1"/>
    <x v="3"/>
  </r>
  <r>
    <s v="P1110"/>
    <x v="3"/>
    <x v="2"/>
    <x v="1"/>
    <x v="0"/>
    <n v="42"/>
    <n v="91441.1"/>
    <n v="22"/>
    <n v="84"/>
    <x v="1"/>
    <x v="4"/>
  </r>
  <r>
    <s v="P1111"/>
    <x v="0"/>
    <x v="3"/>
    <x v="4"/>
    <x v="0"/>
    <n v="24"/>
    <n v="139624.06"/>
    <n v="5"/>
    <n v="55"/>
    <x v="1"/>
    <x v="3"/>
  </r>
  <r>
    <s v="P1112"/>
    <x v="3"/>
    <x v="1"/>
    <x v="0"/>
    <x v="2"/>
    <n v="17"/>
    <n v="86650.5"/>
    <n v="3"/>
    <n v="53"/>
    <x v="1"/>
    <x v="6"/>
  </r>
  <r>
    <s v="P1113"/>
    <x v="4"/>
    <x v="0"/>
    <x v="1"/>
    <x v="1"/>
    <n v="75"/>
    <n v="85517.09"/>
    <n v="6"/>
    <n v="79"/>
    <x v="1"/>
    <x v="2"/>
  </r>
  <r>
    <s v="P1114"/>
    <x v="0"/>
    <x v="0"/>
    <x v="1"/>
    <x v="0"/>
    <n v="47"/>
    <n v="134120.62"/>
    <n v="11"/>
    <n v="92"/>
    <x v="1"/>
    <x v="1"/>
  </r>
  <r>
    <s v="P1115"/>
    <x v="2"/>
    <x v="3"/>
    <x v="2"/>
    <x v="2"/>
    <n v="81"/>
    <n v="22593.06"/>
    <n v="6"/>
    <n v="67"/>
    <x v="0"/>
    <x v="2"/>
  </r>
  <r>
    <s v="P1116"/>
    <x v="0"/>
    <x v="2"/>
    <x v="2"/>
    <x v="1"/>
    <n v="20"/>
    <n v="88741.64"/>
    <n v="26"/>
    <n v="99"/>
    <x v="1"/>
    <x v="3"/>
  </r>
  <r>
    <s v="P1117"/>
    <x v="0"/>
    <x v="1"/>
    <x v="1"/>
    <x v="1"/>
    <n v="14"/>
    <n v="10917.19"/>
    <n v="22"/>
    <n v="43"/>
    <x v="0"/>
    <x v="6"/>
  </r>
  <r>
    <s v="P1118"/>
    <x v="0"/>
    <x v="3"/>
    <x v="4"/>
    <x v="0"/>
    <n v="30"/>
    <n v="97613.71"/>
    <n v="24"/>
    <n v="72"/>
    <x v="1"/>
    <x v="4"/>
  </r>
  <r>
    <s v="P1119"/>
    <x v="5"/>
    <x v="3"/>
    <x v="2"/>
    <x v="0"/>
    <n v="81"/>
    <n v="135711.26999999999"/>
    <n v="14"/>
    <n v="99"/>
    <x v="1"/>
    <x v="2"/>
  </r>
  <r>
    <s v="P1120"/>
    <x v="1"/>
    <x v="1"/>
    <x v="2"/>
    <x v="0"/>
    <n v="48"/>
    <n v="117464.18"/>
    <n v="2"/>
    <n v="61"/>
    <x v="1"/>
    <x v="1"/>
  </r>
  <r>
    <s v="P1121"/>
    <x v="2"/>
    <x v="1"/>
    <x v="2"/>
    <x v="2"/>
    <n v="45"/>
    <n v="89474.55"/>
    <n v="21"/>
    <n v="64"/>
    <x v="1"/>
    <x v="1"/>
  </r>
  <r>
    <s v="P1122"/>
    <x v="0"/>
    <x v="3"/>
    <x v="4"/>
    <x v="2"/>
    <n v="1"/>
    <n v="105954.09"/>
    <n v="12"/>
    <n v="95"/>
    <x v="1"/>
    <x v="7"/>
  </r>
  <r>
    <s v="P1123"/>
    <x v="1"/>
    <x v="2"/>
    <x v="3"/>
    <x v="0"/>
    <n v="30"/>
    <n v="91267.91"/>
    <n v="17"/>
    <n v="76"/>
    <x v="1"/>
    <x v="4"/>
  </r>
  <r>
    <s v="P1124"/>
    <x v="5"/>
    <x v="0"/>
    <x v="3"/>
    <x v="0"/>
    <n v="3"/>
    <n v="46506.94"/>
    <n v="9"/>
    <n v="72"/>
    <x v="0"/>
    <x v="7"/>
  </r>
  <r>
    <s v="P1125"/>
    <x v="4"/>
    <x v="3"/>
    <x v="1"/>
    <x v="0"/>
    <n v="78"/>
    <n v="40568.300000000003"/>
    <n v="18"/>
    <n v="91"/>
    <x v="0"/>
    <x v="2"/>
  </r>
  <r>
    <s v="P1126"/>
    <x v="2"/>
    <x v="0"/>
    <x v="4"/>
    <x v="1"/>
    <n v="35"/>
    <n v="132265.98000000001"/>
    <n v="7"/>
    <n v="45"/>
    <x v="1"/>
    <x v="4"/>
  </r>
  <r>
    <s v="P1127"/>
    <x v="1"/>
    <x v="3"/>
    <x v="2"/>
    <x v="1"/>
    <n v="88"/>
    <n v="50993.47"/>
    <n v="4"/>
    <n v="82"/>
    <x v="0"/>
    <x v="2"/>
  </r>
  <r>
    <s v="P1128"/>
    <x v="2"/>
    <x v="3"/>
    <x v="1"/>
    <x v="1"/>
    <n v="7"/>
    <n v="135590.48000000001"/>
    <n v="6"/>
    <n v="46"/>
    <x v="1"/>
    <x v="0"/>
  </r>
  <r>
    <s v="P1129"/>
    <x v="1"/>
    <x v="3"/>
    <x v="4"/>
    <x v="0"/>
    <n v="73"/>
    <n v="148956.56"/>
    <n v="6"/>
    <n v="100"/>
    <x v="1"/>
    <x v="5"/>
  </r>
  <r>
    <s v="P1130"/>
    <x v="3"/>
    <x v="1"/>
    <x v="0"/>
    <x v="1"/>
    <n v="83"/>
    <n v="71584.960000000006"/>
    <n v="26"/>
    <n v="55"/>
    <x v="0"/>
    <x v="2"/>
  </r>
  <r>
    <s v="P1131"/>
    <x v="2"/>
    <x v="2"/>
    <x v="1"/>
    <x v="2"/>
    <n v="37"/>
    <n v="78613.16"/>
    <n v="20"/>
    <n v="85"/>
    <x v="1"/>
    <x v="4"/>
  </r>
  <r>
    <s v="P1132"/>
    <x v="2"/>
    <x v="0"/>
    <x v="2"/>
    <x v="1"/>
    <n v="53"/>
    <n v="103548.4"/>
    <n v="27"/>
    <n v="74"/>
    <x v="1"/>
    <x v="1"/>
  </r>
  <r>
    <s v="P1133"/>
    <x v="4"/>
    <x v="0"/>
    <x v="4"/>
    <x v="2"/>
    <n v="50"/>
    <n v="62134.18"/>
    <n v="13"/>
    <n v="40"/>
    <x v="0"/>
    <x v="1"/>
  </r>
  <r>
    <s v="P1134"/>
    <x v="5"/>
    <x v="3"/>
    <x v="4"/>
    <x v="1"/>
    <n v="7"/>
    <n v="59235.13"/>
    <n v="12"/>
    <n v="42"/>
    <x v="0"/>
    <x v="0"/>
  </r>
  <r>
    <s v="P1135"/>
    <x v="0"/>
    <x v="2"/>
    <x v="4"/>
    <x v="1"/>
    <n v="38"/>
    <n v="118022.05"/>
    <n v="17"/>
    <n v="79"/>
    <x v="1"/>
    <x v="4"/>
  </r>
  <r>
    <s v="P1136"/>
    <x v="3"/>
    <x v="0"/>
    <x v="3"/>
    <x v="0"/>
    <n v="49"/>
    <n v="127750.62"/>
    <n v="18"/>
    <n v="60"/>
    <x v="1"/>
    <x v="1"/>
  </r>
  <r>
    <s v="P1137"/>
    <x v="1"/>
    <x v="2"/>
    <x v="1"/>
    <x v="2"/>
    <n v="27"/>
    <n v="79666.86"/>
    <n v="16"/>
    <n v="85"/>
    <x v="1"/>
    <x v="3"/>
  </r>
  <r>
    <s v="P1138"/>
    <x v="2"/>
    <x v="3"/>
    <x v="0"/>
    <x v="0"/>
    <n v="65"/>
    <n v="120956.04"/>
    <n v="25"/>
    <n v="95"/>
    <x v="1"/>
    <x v="5"/>
  </r>
  <r>
    <s v="P1139"/>
    <x v="0"/>
    <x v="2"/>
    <x v="3"/>
    <x v="1"/>
    <n v="58"/>
    <n v="100338.81"/>
    <n v="7"/>
    <n v="59"/>
    <x v="1"/>
    <x v="1"/>
  </r>
  <r>
    <s v="P1140"/>
    <x v="4"/>
    <x v="2"/>
    <x v="0"/>
    <x v="0"/>
    <n v="22"/>
    <n v="120621.62"/>
    <n v="21"/>
    <n v="74"/>
    <x v="1"/>
    <x v="3"/>
  </r>
  <r>
    <s v="P1141"/>
    <x v="0"/>
    <x v="2"/>
    <x v="2"/>
    <x v="1"/>
    <n v="10"/>
    <n v="21143.75"/>
    <n v="2"/>
    <n v="42"/>
    <x v="0"/>
    <x v="0"/>
  </r>
  <r>
    <s v="P1142"/>
    <x v="4"/>
    <x v="2"/>
    <x v="4"/>
    <x v="2"/>
    <n v="37"/>
    <n v="58168.06"/>
    <n v="3"/>
    <n v="84"/>
    <x v="0"/>
    <x v="4"/>
  </r>
  <r>
    <s v="P1143"/>
    <x v="1"/>
    <x v="3"/>
    <x v="4"/>
    <x v="0"/>
    <n v="57"/>
    <n v="121600.57"/>
    <n v="19"/>
    <n v="94"/>
    <x v="1"/>
    <x v="1"/>
  </r>
  <r>
    <s v="P1144"/>
    <x v="3"/>
    <x v="1"/>
    <x v="3"/>
    <x v="1"/>
    <n v="26"/>
    <n v="60409.31"/>
    <n v="25"/>
    <n v="94"/>
    <x v="0"/>
    <x v="3"/>
  </r>
  <r>
    <s v="P1145"/>
    <x v="0"/>
    <x v="1"/>
    <x v="2"/>
    <x v="1"/>
    <n v="51"/>
    <n v="148766.01"/>
    <n v="21"/>
    <n v="76"/>
    <x v="1"/>
    <x v="1"/>
  </r>
  <r>
    <s v="P1146"/>
    <x v="0"/>
    <x v="2"/>
    <x v="3"/>
    <x v="1"/>
    <n v="1"/>
    <n v="46211.03"/>
    <n v="4"/>
    <n v="97"/>
    <x v="0"/>
    <x v="7"/>
  </r>
  <r>
    <s v="P1147"/>
    <x v="5"/>
    <x v="0"/>
    <x v="3"/>
    <x v="1"/>
    <n v="61"/>
    <n v="32781.94"/>
    <n v="1"/>
    <n v="83"/>
    <x v="0"/>
    <x v="5"/>
  </r>
  <r>
    <s v="P1148"/>
    <x v="5"/>
    <x v="1"/>
    <x v="1"/>
    <x v="2"/>
    <n v="34"/>
    <n v="139264.72"/>
    <n v="14"/>
    <n v="72"/>
    <x v="1"/>
    <x v="4"/>
  </r>
  <r>
    <s v="P1149"/>
    <x v="1"/>
    <x v="0"/>
    <x v="4"/>
    <x v="0"/>
    <n v="78"/>
    <n v="15165.98"/>
    <n v="25"/>
    <n v="86"/>
    <x v="0"/>
    <x v="2"/>
  </r>
  <r>
    <s v="P1150"/>
    <x v="0"/>
    <x v="2"/>
    <x v="1"/>
    <x v="1"/>
    <n v="73"/>
    <n v="133910.69"/>
    <n v="22"/>
    <n v="87"/>
    <x v="1"/>
    <x v="5"/>
  </r>
  <r>
    <s v="P1151"/>
    <x v="3"/>
    <x v="2"/>
    <x v="0"/>
    <x v="1"/>
    <n v="8"/>
    <n v="82835.539999999994"/>
    <n v="24"/>
    <n v="94"/>
    <x v="1"/>
    <x v="0"/>
  </r>
  <r>
    <s v="P1152"/>
    <x v="0"/>
    <x v="1"/>
    <x v="4"/>
    <x v="1"/>
    <n v="16"/>
    <n v="109945.06"/>
    <n v="23"/>
    <n v="76"/>
    <x v="1"/>
    <x v="6"/>
  </r>
  <r>
    <s v="P1153"/>
    <x v="0"/>
    <x v="1"/>
    <x v="3"/>
    <x v="2"/>
    <n v="3"/>
    <n v="40894.400000000001"/>
    <n v="20"/>
    <n v="46"/>
    <x v="0"/>
    <x v="7"/>
  </r>
  <r>
    <s v="P1154"/>
    <x v="0"/>
    <x v="1"/>
    <x v="3"/>
    <x v="2"/>
    <n v="28"/>
    <n v="5522.04"/>
    <n v="20"/>
    <n v="95"/>
    <x v="0"/>
    <x v="3"/>
  </r>
  <r>
    <s v="P1155"/>
    <x v="2"/>
    <x v="3"/>
    <x v="3"/>
    <x v="1"/>
    <n v="38"/>
    <n v="121567.96"/>
    <n v="26"/>
    <n v="65"/>
    <x v="1"/>
    <x v="4"/>
  </r>
  <r>
    <s v="P1156"/>
    <x v="0"/>
    <x v="3"/>
    <x v="4"/>
    <x v="0"/>
    <n v="2"/>
    <n v="14606.74"/>
    <n v="30"/>
    <n v="75"/>
    <x v="0"/>
    <x v="7"/>
  </r>
  <r>
    <s v="P1157"/>
    <x v="1"/>
    <x v="2"/>
    <x v="2"/>
    <x v="1"/>
    <n v="6"/>
    <n v="116568.72"/>
    <n v="24"/>
    <n v="65"/>
    <x v="1"/>
    <x v="0"/>
  </r>
  <r>
    <s v="P1158"/>
    <x v="3"/>
    <x v="1"/>
    <x v="4"/>
    <x v="1"/>
    <n v="33"/>
    <n v="70189.8"/>
    <n v="14"/>
    <n v="88"/>
    <x v="0"/>
    <x v="4"/>
  </r>
  <r>
    <s v="P1159"/>
    <x v="5"/>
    <x v="1"/>
    <x v="3"/>
    <x v="2"/>
    <n v="28"/>
    <n v="136392.39000000001"/>
    <n v="22"/>
    <n v="77"/>
    <x v="1"/>
    <x v="3"/>
  </r>
  <r>
    <s v="P1160"/>
    <x v="5"/>
    <x v="3"/>
    <x v="3"/>
    <x v="2"/>
    <n v="56"/>
    <n v="139281.34"/>
    <n v="24"/>
    <n v="96"/>
    <x v="1"/>
    <x v="1"/>
  </r>
  <r>
    <s v="P1161"/>
    <x v="1"/>
    <x v="0"/>
    <x v="3"/>
    <x v="1"/>
    <n v="80"/>
    <n v="140818.37"/>
    <n v="9"/>
    <n v="42"/>
    <x v="1"/>
    <x v="2"/>
  </r>
  <r>
    <s v="P1162"/>
    <x v="4"/>
    <x v="3"/>
    <x v="1"/>
    <x v="1"/>
    <n v="74"/>
    <n v="56018.43"/>
    <n v="7"/>
    <n v="77"/>
    <x v="0"/>
    <x v="5"/>
  </r>
  <r>
    <s v="P1163"/>
    <x v="2"/>
    <x v="3"/>
    <x v="4"/>
    <x v="2"/>
    <n v="72"/>
    <n v="144841.74"/>
    <n v="5"/>
    <n v="57"/>
    <x v="1"/>
    <x v="5"/>
  </r>
  <r>
    <s v="P1164"/>
    <x v="4"/>
    <x v="0"/>
    <x v="2"/>
    <x v="1"/>
    <n v="14"/>
    <n v="123398.79"/>
    <n v="21"/>
    <n v="77"/>
    <x v="1"/>
    <x v="6"/>
  </r>
  <r>
    <s v="P1165"/>
    <x v="1"/>
    <x v="3"/>
    <x v="4"/>
    <x v="1"/>
    <n v="48"/>
    <n v="10911.55"/>
    <n v="19"/>
    <n v="47"/>
    <x v="0"/>
    <x v="1"/>
  </r>
  <r>
    <s v="P1166"/>
    <x v="5"/>
    <x v="1"/>
    <x v="4"/>
    <x v="0"/>
    <n v="87"/>
    <n v="96532.96"/>
    <n v="7"/>
    <n v="93"/>
    <x v="1"/>
    <x v="2"/>
  </r>
  <r>
    <s v="P1167"/>
    <x v="1"/>
    <x v="3"/>
    <x v="4"/>
    <x v="2"/>
    <n v="49"/>
    <n v="126056.09"/>
    <n v="11"/>
    <n v="78"/>
    <x v="1"/>
    <x v="1"/>
  </r>
  <r>
    <s v="P1168"/>
    <x v="5"/>
    <x v="3"/>
    <x v="4"/>
    <x v="2"/>
    <n v="42"/>
    <n v="92788.13"/>
    <n v="4"/>
    <n v="41"/>
    <x v="1"/>
    <x v="4"/>
  </r>
  <r>
    <s v="P1169"/>
    <x v="1"/>
    <x v="0"/>
    <x v="3"/>
    <x v="1"/>
    <n v="36"/>
    <n v="24614.639999999999"/>
    <n v="30"/>
    <n v="57"/>
    <x v="0"/>
    <x v="4"/>
  </r>
  <r>
    <s v="P1170"/>
    <x v="4"/>
    <x v="0"/>
    <x v="0"/>
    <x v="2"/>
    <n v="56"/>
    <n v="36862.400000000001"/>
    <n v="28"/>
    <n v="66"/>
    <x v="0"/>
    <x v="1"/>
  </r>
  <r>
    <s v="P1171"/>
    <x v="0"/>
    <x v="1"/>
    <x v="0"/>
    <x v="1"/>
    <n v="39"/>
    <n v="84065.42"/>
    <n v="28"/>
    <n v="50"/>
    <x v="1"/>
    <x v="4"/>
  </r>
  <r>
    <s v="P1172"/>
    <x v="0"/>
    <x v="3"/>
    <x v="0"/>
    <x v="2"/>
    <n v="42"/>
    <n v="83047.11"/>
    <n v="13"/>
    <n v="50"/>
    <x v="1"/>
    <x v="4"/>
  </r>
  <r>
    <s v="P1173"/>
    <x v="0"/>
    <x v="0"/>
    <x v="3"/>
    <x v="2"/>
    <n v="59"/>
    <n v="96326.11"/>
    <n v="17"/>
    <n v="82"/>
    <x v="1"/>
    <x v="1"/>
  </r>
  <r>
    <s v="P1174"/>
    <x v="5"/>
    <x v="3"/>
    <x v="0"/>
    <x v="1"/>
    <n v="67"/>
    <n v="49487.73"/>
    <n v="27"/>
    <n v="72"/>
    <x v="0"/>
    <x v="5"/>
  </r>
  <r>
    <s v="P1175"/>
    <x v="0"/>
    <x v="3"/>
    <x v="1"/>
    <x v="1"/>
    <n v="11"/>
    <n v="18263.25"/>
    <n v="29"/>
    <n v="83"/>
    <x v="0"/>
    <x v="0"/>
  </r>
  <r>
    <s v="P1176"/>
    <x v="4"/>
    <x v="2"/>
    <x v="0"/>
    <x v="0"/>
    <n v="3"/>
    <n v="149013.84"/>
    <n v="26"/>
    <n v="93"/>
    <x v="1"/>
    <x v="7"/>
  </r>
  <r>
    <s v="P1177"/>
    <x v="2"/>
    <x v="1"/>
    <x v="3"/>
    <x v="2"/>
    <n v="69"/>
    <n v="46708.35"/>
    <n v="1"/>
    <n v="88"/>
    <x v="0"/>
    <x v="5"/>
  </r>
  <r>
    <s v="P1178"/>
    <x v="3"/>
    <x v="0"/>
    <x v="1"/>
    <x v="1"/>
    <n v="54"/>
    <n v="68133.7"/>
    <n v="9"/>
    <n v="60"/>
    <x v="0"/>
    <x v="1"/>
  </r>
  <r>
    <s v="P1179"/>
    <x v="5"/>
    <x v="2"/>
    <x v="0"/>
    <x v="1"/>
    <n v="82"/>
    <n v="19213.509999999998"/>
    <n v="26"/>
    <n v="96"/>
    <x v="0"/>
    <x v="2"/>
  </r>
  <r>
    <s v="P1180"/>
    <x v="3"/>
    <x v="3"/>
    <x v="3"/>
    <x v="1"/>
    <n v="60"/>
    <n v="22138.22"/>
    <n v="3"/>
    <n v="96"/>
    <x v="0"/>
    <x v="5"/>
  </r>
  <r>
    <s v="P1181"/>
    <x v="2"/>
    <x v="1"/>
    <x v="1"/>
    <x v="1"/>
    <n v="65"/>
    <n v="30460.26"/>
    <n v="21"/>
    <n v="63"/>
    <x v="0"/>
    <x v="5"/>
  </r>
  <r>
    <s v="P1182"/>
    <x v="1"/>
    <x v="2"/>
    <x v="2"/>
    <x v="1"/>
    <n v="5"/>
    <n v="52772.62"/>
    <n v="9"/>
    <n v="62"/>
    <x v="0"/>
    <x v="7"/>
  </r>
  <r>
    <s v="P1183"/>
    <x v="2"/>
    <x v="2"/>
    <x v="1"/>
    <x v="1"/>
    <n v="54"/>
    <n v="118241.71"/>
    <n v="24"/>
    <n v="81"/>
    <x v="1"/>
    <x v="1"/>
  </r>
  <r>
    <s v="P1184"/>
    <x v="0"/>
    <x v="1"/>
    <x v="4"/>
    <x v="1"/>
    <n v="64"/>
    <n v="19477.689999999999"/>
    <n v="6"/>
    <n v="65"/>
    <x v="0"/>
    <x v="5"/>
  </r>
  <r>
    <s v="P1185"/>
    <x v="5"/>
    <x v="2"/>
    <x v="2"/>
    <x v="0"/>
    <n v="77"/>
    <n v="114541.22"/>
    <n v="25"/>
    <n v="69"/>
    <x v="1"/>
    <x v="2"/>
  </r>
  <r>
    <s v="P1186"/>
    <x v="5"/>
    <x v="0"/>
    <x v="3"/>
    <x v="0"/>
    <n v="72"/>
    <n v="56437.97"/>
    <n v="21"/>
    <n v="78"/>
    <x v="0"/>
    <x v="5"/>
  </r>
  <r>
    <s v="P1187"/>
    <x v="4"/>
    <x v="1"/>
    <x v="1"/>
    <x v="1"/>
    <n v="86"/>
    <n v="53586.34"/>
    <n v="22"/>
    <n v="96"/>
    <x v="0"/>
    <x v="2"/>
  </r>
  <r>
    <s v="P1188"/>
    <x v="0"/>
    <x v="3"/>
    <x v="1"/>
    <x v="0"/>
    <n v="62"/>
    <n v="13836.03"/>
    <n v="15"/>
    <n v="60"/>
    <x v="0"/>
    <x v="5"/>
  </r>
  <r>
    <s v="P1189"/>
    <x v="1"/>
    <x v="2"/>
    <x v="2"/>
    <x v="1"/>
    <n v="38"/>
    <n v="54960.36"/>
    <n v="26"/>
    <n v="61"/>
    <x v="0"/>
    <x v="4"/>
  </r>
  <r>
    <s v="P1190"/>
    <x v="1"/>
    <x v="1"/>
    <x v="4"/>
    <x v="0"/>
    <n v="70"/>
    <n v="92629.07"/>
    <n v="11"/>
    <n v="96"/>
    <x v="1"/>
    <x v="5"/>
  </r>
  <r>
    <s v="P1191"/>
    <x v="3"/>
    <x v="3"/>
    <x v="4"/>
    <x v="2"/>
    <n v="52"/>
    <n v="69945.08"/>
    <n v="8"/>
    <n v="80"/>
    <x v="0"/>
    <x v="1"/>
  </r>
  <r>
    <s v="P1192"/>
    <x v="2"/>
    <x v="1"/>
    <x v="0"/>
    <x v="0"/>
    <n v="62"/>
    <n v="132120.79"/>
    <n v="25"/>
    <n v="81"/>
    <x v="1"/>
    <x v="5"/>
  </r>
  <r>
    <s v="P1193"/>
    <x v="2"/>
    <x v="1"/>
    <x v="3"/>
    <x v="1"/>
    <n v="22"/>
    <n v="132726.88"/>
    <n v="24"/>
    <n v="54"/>
    <x v="1"/>
    <x v="3"/>
  </r>
  <r>
    <s v="P1194"/>
    <x v="0"/>
    <x v="1"/>
    <x v="1"/>
    <x v="2"/>
    <n v="70"/>
    <n v="40806.769999999997"/>
    <n v="1"/>
    <n v="51"/>
    <x v="0"/>
    <x v="5"/>
  </r>
  <r>
    <s v="P1195"/>
    <x v="3"/>
    <x v="3"/>
    <x v="4"/>
    <x v="0"/>
    <n v="33"/>
    <n v="56926.38"/>
    <n v="11"/>
    <n v="81"/>
    <x v="0"/>
    <x v="4"/>
  </r>
  <r>
    <s v="P1196"/>
    <x v="2"/>
    <x v="1"/>
    <x v="4"/>
    <x v="2"/>
    <n v="1"/>
    <n v="87386.12"/>
    <n v="14"/>
    <n v="63"/>
    <x v="1"/>
    <x v="7"/>
  </r>
  <r>
    <s v="P1197"/>
    <x v="2"/>
    <x v="2"/>
    <x v="0"/>
    <x v="0"/>
    <n v="8"/>
    <n v="7805.22"/>
    <n v="13"/>
    <n v="91"/>
    <x v="0"/>
    <x v="0"/>
  </r>
  <r>
    <s v="P1198"/>
    <x v="2"/>
    <x v="0"/>
    <x v="1"/>
    <x v="1"/>
    <n v="90"/>
    <n v="64936.83"/>
    <n v="23"/>
    <n v="51"/>
    <x v="0"/>
    <x v="2"/>
  </r>
  <r>
    <s v="P1199"/>
    <x v="5"/>
    <x v="3"/>
    <x v="4"/>
    <x v="0"/>
    <n v="21"/>
    <n v="57025.03"/>
    <n v="18"/>
    <n v="50"/>
    <x v="0"/>
    <x v="3"/>
  </r>
  <r>
    <s v="P1200"/>
    <x v="5"/>
    <x v="3"/>
    <x v="2"/>
    <x v="0"/>
    <n v="39"/>
    <n v="145631.91"/>
    <n v="6"/>
    <n v="49"/>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C56332-1B03-4CCA-918D-78603178341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C30:D33"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sortType="descending">
      <items count="6">
        <item x="2"/>
        <item x="4"/>
        <item x="1"/>
        <item x="0"/>
        <item x="3"/>
        <item t="default"/>
      </items>
    </pivotField>
    <pivotField showAll="0">
      <items count="4">
        <item x="0"/>
        <item x="1"/>
        <item x="2"/>
        <item t="default"/>
      </items>
    </pivotField>
    <pivotField showAll="0"/>
    <pivotField showAll="0"/>
    <pivotField showAll="0"/>
    <pivotField dataField="1" showAll="0"/>
    <pivotField axis="axisRow" showAll="0">
      <items count="3">
        <item x="1"/>
        <item x="0"/>
        <item t="default"/>
      </items>
    </pivotField>
    <pivotField showAll="0"/>
  </pivotFields>
  <rowFields count="1">
    <field x="9"/>
  </rowFields>
  <rowItems count="3">
    <i>
      <x/>
    </i>
    <i>
      <x v="1"/>
    </i>
    <i t="grand">
      <x/>
    </i>
  </rowItems>
  <colItems count="1">
    <i/>
  </colItems>
  <dataFields count="1">
    <dataField name="Avg Recovery Score" fld="8" subtotal="average" baseField="1" baseItem="0" numFmtId="2"/>
  </dataFields>
  <chartFormats count="6">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9" count="1" selected="0">
            <x v="0"/>
          </reference>
        </references>
      </pivotArea>
    </chartFormat>
    <chartFormat chart="15" format="10">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3297BC-AA24-4757-ACA6-0A78EAE7927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C35:D44"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sortType="descending">
      <items count="6">
        <item x="2"/>
        <item x="4"/>
        <item x="1"/>
        <item x="0"/>
        <item x="3"/>
        <item t="default"/>
      </items>
    </pivotField>
    <pivotField showAll="0">
      <items count="4">
        <item x="0"/>
        <item x="1"/>
        <item x="2"/>
        <item t="default"/>
      </items>
    </pivotField>
    <pivotField showAll="0"/>
    <pivotField showAll="0"/>
    <pivotField showAll="0"/>
    <pivotField dataField="1" showAll="0"/>
    <pivotField showAll="0"/>
    <pivotField axis="axisRow" showAll="0">
      <items count="9">
        <item x="4"/>
        <item x="0"/>
        <item x="2"/>
        <item x="7"/>
        <item x="1"/>
        <item x="5"/>
        <item x="6"/>
        <item x="3"/>
        <item t="default"/>
      </items>
    </pivotField>
  </pivotFields>
  <rowFields count="1">
    <field x="10"/>
  </rowFields>
  <rowItems count="9">
    <i>
      <x/>
    </i>
    <i>
      <x v="1"/>
    </i>
    <i>
      <x v="2"/>
    </i>
    <i>
      <x v="3"/>
    </i>
    <i>
      <x v="4"/>
    </i>
    <i>
      <x v="5"/>
    </i>
    <i>
      <x v="6"/>
    </i>
    <i>
      <x v="7"/>
    </i>
    <i t="grand">
      <x/>
    </i>
  </rowItems>
  <colItems count="1">
    <i/>
  </colItems>
  <dataFields count="1">
    <dataField name="Avg Recovery Score" fld="8" subtotal="average" baseField="1" baseItem="0" numFmtId="2"/>
  </dataFields>
  <chartFormats count="5">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6B2129-95BF-4CF8-B275-C5AFC8B9159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23:D28" firstHeaderRow="1" firstDataRow="1" firstDataCol="1"/>
  <pivotFields count="11">
    <pivotField showAll="0"/>
    <pivotField showAll="0">
      <items count="7">
        <item x="3"/>
        <item x="0"/>
        <item x="4"/>
        <item x="5"/>
        <item x="2"/>
        <item x="1"/>
        <item t="default"/>
      </items>
    </pivotField>
    <pivotField axis="axisRow" showAll="0">
      <items count="5">
        <item x="1"/>
        <item x="2"/>
        <item x="3"/>
        <item x="0"/>
        <item t="default"/>
      </items>
    </pivotField>
    <pivotField showAll="0" sortType="descending">
      <items count="6">
        <item x="2"/>
        <item x="4"/>
        <item x="1"/>
        <item x="0"/>
        <item x="3"/>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Avg Recovery Score" fld="8" subtotal="average" baseField="1" baseItem="0" numFmtId="2"/>
  </dataFields>
  <chartFormats count="3">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825D9C-80FE-4F9F-97C5-0A881BBEE71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C17:D21"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sortType="descending">
      <items count="6">
        <item x="2"/>
        <item x="4"/>
        <item x="1"/>
        <item x="0"/>
        <item x="3"/>
        <item t="default"/>
      </items>
    </pivotField>
    <pivotField axis="axisRow" showAll="0">
      <items count="4">
        <item x="0"/>
        <item x="1"/>
        <item x="2"/>
        <item t="default"/>
      </items>
    </pivotField>
    <pivotField showAll="0"/>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Avg Recovery Score" fld="8" subtotal="average" baseField="1" baseItem="0" numFmtId="2"/>
  </dataFields>
  <chartFormats count="14">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4" count="1" selected="0">
            <x v="2"/>
          </reference>
        </references>
      </pivotArea>
    </chartFormat>
    <chartFormat chart="14" format="2">
      <pivotArea type="data" outline="0" fieldPosition="0">
        <references count="2">
          <reference field="4294967294" count="1" selected="0">
            <x v="0"/>
          </reference>
          <reference field="4" count="1" selected="0">
            <x v="1"/>
          </reference>
        </references>
      </pivotArea>
    </chartFormat>
    <chartFormat chart="17" format="3"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4" count="1" selected="0">
            <x v="0"/>
          </reference>
        </references>
      </pivotArea>
    </chartFormat>
    <chartFormat chart="17" format="5">
      <pivotArea type="data" outline="0" fieldPosition="0">
        <references count="2">
          <reference field="4294967294" count="1" selected="0">
            <x v="0"/>
          </reference>
          <reference field="4" count="1" selected="0">
            <x v="1"/>
          </reference>
        </references>
      </pivotArea>
    </chartFormat>
    <chartFormat chart="17" format="6">
      <pivotArea type="data" outline="0" fieldPosition="0">
        <references count="2">
          <reference field="4294967294" count="1" selected="0">
            <x v="0"/>
          </reference>
          <reference field="4" count="1" selected="0">
            <x v="2"/>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4" count="1" selected="0">
            <x v="0"/>
          </reference>
        </references>
      </pivotArea>
    </chartFormat>
    <chartFormat chart="18" format="9">
      <pivotArea type="data" outline="0" fieldPosition="0">
        <references count="2">
          <reference field="4294967294" count="1" selected="0">
            <x v="0"/>
          </reference>
          <reference field="4" count="1" selected="0">
            <x v="1"/>
          </reference>
        </references>
      </pivotArea>
    </chartFormat>
    <chartFormat chart="18" format="10">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DCF019-D9C1-44B2-A4A9-DB74A44FFC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D14" firstHeaderRow="0" firstDataRow="1" firstDataCol="1"/>
  <pivotFields count="11">
    <pivotField showAll="0"/>
    <pivotField axis="axisRow"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1"/>
  </rowFields>
  <rowItems count="7">
    <i>
      <x/>
    </i>
    <i>
      <x v="1"/>
    </i>
    <i>
      <x v="2"/>
    </i>
    <i>
      <x v="3"/>
    </i>
    <i>
      <x v="4"/>
    </i>
    <i>
      <x v="5"/>
    </i>
    <i t="grand">
      <x/>
    </i>
  </rowItems>
  <colFields count="1">
    <field x="-2"/>
  </colFields>
  <colItems count="3">
    <i>
      <x/>
    </i>
    <i i="1">
      <x v="1"/>
    </i>
    <i i="2">
      <x v="2"/>
    </i>
  </colItems>
  <dataFields count="3">
    <dataField name="Avg Recovery Score" fld="8" subtotal="average" baseField="1" baseItem="0" numFmtId="2"/>
    <dataField name="Min Recovery Score" fld="8" subtotal="min" baseField="1" baseItem="0" numFmtId="2"/>
    <dataField name="StdDev Recovery Score" fld="8" subtotal="stdDev" baseField="1" baseItem="0" numFmtId="2"/>
  </dataFields>
  <chartFormats count="3">
    <chartFormat chart="5" format="15"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1"/>
          </reference>
        </references>
      </pivotArea>
    </chartFormat>
    <chartFormat chart="5"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073C98-8C6B-470F-BF3D-E85361D16F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7:B23"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axis="axisRow" showAll="0" sortType="descending">
      <items count="6">
        <item x="2"/>
        <item x="4"/>
        <item x="1"/>
        <item x="0"/>
        <item x="3"/>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3"/>
  </rowFields>
  <rowItems count="6">
    <i>
      <x/>
    </i>
    <i>
      <x v="1"/>
    </i>
    <i>
      <x v="2"/>
    </i>
    <i>
      <x v="3"/>
    </i>
    <i>
      <x v="4"/>
    </i>
    <i t="grand">
      <x/>
    </i>
  </rowItems>
  <colItems count="1">
    <i/>
  </colItems>
  <dataFields count="1">
    <dataField name="Avg Recovery Score" fld="8" subtotal="average" baseField="1" baseItem="0" numFmtId="2"/>
  </dataFields>
  <chartFormats count="2">
    <chartFormat chart="5"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C5665F-8AA1-44B8-BD9A-2D3526EF88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1">
    <pivotField dataField="1"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dataField="1" showAll="0"/>
    <pivotField dataField="1" showAll="0"/>
    <pivotField dataField="1" showAll="0"/>
    <pivotField dataField="1" showAll="0"/>
    <pivotField showAll="0"/>
    <pivotField showAll="0"/>
  </pivotFields>
  <rowItems count="1">
    <i/>
  </rowItems>
  <colFields count="1">
    <field x="-2"/>
  </colFields>
  <colItems count="5">
    <i>
      <x/>
    </i>
    <i i="1">
      <x v="1"/>
    </i>
    <i i="2">
      <x v="2"/>
    </i>
    <i i="3">
      <x v="3"/>
    </i>
    <i i="4">
      <x v="4"/>
    </i>
  </colItems>
  <dataFields count="5">
    <dataField name="Paitents count" fld="0" subtotal="count" baseField="0" baseItem="0"/>
    <dataField name="Average of Treatment Cost" fld="6" subtotal="average" baseField="0" baseItem="1" numFmtId="2"/>
    <dataField name="Average of Age" fld="5" subtotal="average" baseField="0" baseItem="1" numFmtId="2"/>
    <dataField name="Average of Hospital Stay (Days)" fld="7" subtotal="average" baseField="0" baseItem="1" numFmtId="2"/>
    <dataField name="Average of Recovery Score" fld="8"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24</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9A12EB6-956B-4C47-9ACE-17E542900A3D}" sourceName="Department">
  <pivotTables>
    <pivotTable tabId="2" name="PivotTable1"/>
    <pivotTable tabId="2" name="PivotTable2"/>
    <pivotTable tabId="2" name="PivotTable3"/>
    <pivotTable tabId="2" name="PivotTable4"/>
    <pivotTable tabId="2" name="PivotTable5"/>
    <pivotTable tabId="2" name="PivotTable11"/>
    <pivotTable tabId="2" name="PivotTable17"/>
  </pivotTables>
  <data>
    <tabular pivotCacheId="1368954083">
      <items count="6">
        <i x="3" s="1"/>
        <i x="0" s="1"/>
        <i x="4" s="1"/>
        <i x="5"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E4F9FE1C-6516-48E8-8D3C-ABD624317300}" sourceName="Treatment Type">
  <pivotTables>
    <pivotTable tabId="2" name="PivotTable1"/>
    <pivotTable tabId="2" name="PivotTable2"/>
    <pivotTable tabId="2" name="PivotTable3"/>
    <pivotTable tabId="2" name="PivotTable4"/>
    <pivotTable tabId="2" name="PivotTable5"/>
    <pivotTable tabId="2" name="PivotTable11"/>
    <pivotTable tabId="2" name="PivotTable17"/>
  </pivotTables>
  <data>
    <tabular pivotCacheId="1368954083">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473DD308-7F47-4CCB-885A-C6270CBD996A}" sourceName="Doctor Name">
  <pivotTables>
    <pivotTable tabId="2" name="PivotTable1"/>
    <pivotTable tabId="2" name="PivotTable2"/>
    <pivotTable tabId="2" name="PivotTable3"/>
    <pivotTable tabId="2" name="PivotTable4"/>
    <pivotTable tabId="2" name="PivotTable5"/>
    <pivotTable tabId="2" name="PivotTable11"/>
    <pivotTable tabId="2" name="PivotTable17"/>
  </pivotTables>
  <data>
    <tabular pivotCacheId="1368954083">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050CC5B-1D1D-4F89-9FB1-6584BDD1DD8E}" sourceName="Gender">
  <pivotTables>
    <pivotTable tabId="2" name="PivotTable1"/>
    <pivotTable tabId="2" name="PivotTable2"/>
    <pivotTable tabId="2" name="PivotTable3"/>
    <pivotTable tabId="2" name="PivotTable4"/>
    <pivotTable tabId="2" name="PivotTable5"/>
    <pivotTable tabId="2" name="PivotTable11"/>
    <pivotTable tabId="2" name="PivotTable17"/>
  </pivotTables>
  <data>
    <tabular pivotCacheId="136895408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8BE0282-D8B1-4A87-98E7-2C5E65BC3BC5}" cache="Slicer_Department" caption="Department" style="SlicerStyleDark6" rowHeight="257175"/>
  <slicer name="Treatment Type" xr10:uid="{91FE8237-0480-4D57-B4DD-6C1C33293328}" cache="Slicer_Treatment_Type" caption="Treatment Type" style="SlicerStyleDark6" rowHeight="257175"/>
  <slicer name="Doctor Name" xr10:uid="{E50AC062-CAC2-4334-8627-F3984BDA3326}" cache="Slicer_Doctor_Name" caption="Doctor Name" style="SlicerStyleDark6" rowHeight="257175"/>
  <slicer name="Gender" xr10:uid="{0E5DB59F-C034-4263-AC15-5C510DD3C50F}" cache="Slicer_Gender" caption="Gender" style="SlicerStyleDark6"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674E6B79-FAE9-4D01-93A3-648F0A7ECB5B}" cache="Slicer_Department" caption="Department" rowHeight="257175"/>
  <slicer name="Treatment Type 1" xr10:uid="{39E52888-E565-4C54-95E5-E21EAF82077A}" cache="Slicer_Treatment_Type" caption="Treatment Type" rowHeight="257175"/>
  <slicer name="Doctor Name 1" xr10:uid="{009D1191-5C2D-437A-B335-15BB28E3F1F0}" cache="Slicer_Doctor_Name" caption="Doctor Name" rowHeight="257175"/>
  <slicer name="Gender 1" xr10:uid="{5DFE6FD9-8569-450D-94B2-716026B17D24}" cache="Slicer_Gender" caption="Gend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1C3FC3-57E8-49B8-A6D5-96285FFF02EB}" name="Table2" displayName="Table2" ref="A3:J53" totalsRowShown="0">
  <autoFilter ref="A3:J53" xr:uid="{5E1C3FC3-57E8-49B8-A6D5-96285FFF02EB}"/>
  <tableColumns count="10">
    <tableColumn id="1" xr3:uid="{972E1A77-1D19-49B9-8C97-DE4019FE472D}" name="Patient ID"/>
    <tableColumn id="2" xr3:uid="{C3CE3808-8A4F-4DD5-BD5B-5B9181AD15A2}" name="Department"/>
    <tableColumn id="3" xr3:uid="{86D86592-3226-4600-AD41-B2AFDD282E6E}" name="Treatment Type"/>
    <tableColumn id="4" xr3:uid="{7C040001-2340-4FE3-AA8C-1A7DE34484B0}" name="Doctor Name"/>
    <tableColumn id="5" xr3:uid="{85395D4A-EA6C-460F-8A04-AE65E509355D}" name="Gender"/>
    <tableColumn id="6" xr3:uid="{87A4E368-FFD7-4B1F-A964-86D20CC7863E}" name="Age"/>
    <tableColumn id="7" xr3:uid="{4EB28734-76D6-49F8-BF5F-DFC9FAF4710E}" name="Treatment Cost"/>
    <tableColumn id="8" xr3:uid="{A223E2CA-4FE7-4644-B998-DC89D07FF7BD}" name="Hospital Stay (Days)"/>
    <tableColumn id="9" xr3:uid="{28A0D334-298A-4E23-8BFF-60A7EEFF13B7}" name="Recovery Score"/>
    <tableColumn id="10" xr3:uid="{A1416217-4447-4CBC-8551-61DE0549D62B}" name="Column1" dataDxfId="2">
      <calculatedColumnFormula>_xleta.IF</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8C8EE1-A8AF-497C-AFE0-178161F37334}" name="Table3" displayName="Table3" ref="A3:J51" totalsRowShown="0">
  <autoFilter ref="A3:J51" xr:uid="{198C8EE1-A8AF-497C-AFE0-178161F37334}"/>
  <tableColumns count="10">
    <tableColumn id="1" xr3:uid="{9FF01A96-8417-440A-90B2-9D1EBAF4079A}" name="Patient ID"/>
    <tableColumn id="2" xr3:uid="{18AA2ABE-D7B5-42A3-B6BC-75FC980982D8}" name="Department"/>
    <tableColumn id="3" xr3:uid="{CEEBDA68-07E4-42A4-9601-0CE18C1A34A6}" name="Treatment Type"/>
    <tableColumn id="4" xr3:uid="{13DD4B7E-C6DD-42C5-9F8D-3E36F1847C4A}" name="Doctor Name"/>
    <tableColumn id="5" xr3:uid="{83D63EE7-1600-41E1-A4DD-3FC02B784517}" name="Gender"/>
    <tableColumn id="6" xr3:uid="{679DF8E6-4C42-42F1-B546-4FEF9627E738}" name="Age"/>
    <tableColumn id="7" xr3:uid="{AA6D8A5F-5146-4209-A7B8-962B99850A40}" name="Treatment Cost"/>
    <tableColumn id="8" xr3:uid="{F3EBE7F0-9CD2-4902-8AFE-CC68FA5F3418}" name="Hospital Stay (Days)"/>
    <tableColumn id="9" xr3:uid="{DAD6AFB1-FA77-4DDF-8D66-206F478B26DA}" name="Recovery Score"/>
    <tableColumn id="10" xr3:uid="{C651D3F5-7D02-4A0E-84AD-3B6F94227F65}"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402D68-69DA-4CC5-813F-748B3C12CE9A}" name="Table4" displayName="Table4" ref="A3:J203" totalsRowShown="0">
  <autoFilter ref="A3:J203" xr:uid="{8E402D68-69DA-4CC5-813F-748B3C12CE9A}"/>
  <tableColumns count="10">
    <tableColumn id="1" xr3:uid="{2EDCE1A7-8542-49A5-ADE3-3B716ABEC9F0}" name="Patient ID"/>
    <tableColumn id="2" xr3:uid="{452DD028-D366-4939-938B-BB3C9EEFAEF1}" name="Department"/>
    <tableColumn id="3" xr3:uid="{38B7DCC1-CB7C-42CF-8F25-B357A59CC101}" name="Treatment Type"/>
    <tableColumn id="4" xr3:uid="{5E31586A-EAC7-4AC0-8B2F-80A16A5F06CD}" name="Doctor Name"/>
    <tableColumn id="5" xr3:uid="{1269F308-9174-4BF8-B853-D1F6942EE0EB}" name="Gender"/>
    <tableColumn id="6" xr3:uid="{7F63DC33-F1D4-4C77-B098-8434792A7DC2}" name="Age"/>
    <tableColumn id="7" xr3:uid="{74F98B78-C4E1-4A0B-A6E3-EB30D571C553}" name="Treatment Cost"/>
    <tableColumn id="8" xr3:uid="{CDF16A04-5901-4CD6-BC6C-D4745C1B1037}" name="Hospital Stay (Days)"/>
    <tableColumn id="9" xr3:uid="{6D0465C0-0C75-47B3-8ED5-7970F6842BFF}" name="Recovery Score"/>
    <tableColumn id="10" xr3:uid="{42EF0CA7-EF28-48B1-A7A0-79E4520B6DCC}" name="Column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75E75-A987-4CF8-9EA2-B1288A232BEE}" name="Table1" displayName="Table1" ref="A1:K201" totalsRowShown="0">
  <autoFilter ref="A1:K201" xr:uid="{C1482A74-AF1B-422B-88FD-818259B4E77C}"/>
  <tableColumns count="11">
    <tableColumn id="1" xr3:uid="{C61C78E0-AEE6-4826-8E95-79D84C967AEC}" name="Patient ID"/>
    <tableColumn id="2" xr3:uid="{C8681FDA-995C-4FDF-90FA-FF60722C11F1}" name="Department"/>
    <tableColumn id="3" xr3:uid="{1AF17521-8474-4001-8281-1DC395CA45AD}" name="Treatment Type"/>
    <tableColumn id="4" xr3:uid="{00399CEC-9B67-4CDB-AA75-FEDACED29E1C}" name="Doctor Name"/>
    <tableColumn id="5" xr3:uid="{B9D13E06-31DB-4DFB-962F-4DEA86035FA7}" name="Gender"/>
    <tableColumn id="6" xr3:uid="{197415EE-2058-4973-AA8E-E17E964426B5}" name="Age"/>
    <tableColumn id="7" xr3:uid="{C168FBF8-BE22-4BCD-90C1-B8B006FDF85F}" name="Treatment Cost"/>
    <tableColumn id="8" xr3:uid="{D0C463D6-3035-43EE-9D5C-1F11967A11C2}" name="Hospital Stay (Days)"/>
    <tableColumn id="9" xr3:uid="{22822203-217B-4BC8-846B-83B77EDC986F}" name="Recovery Score"/>
    <tableColumn id="10" xr3:uid="{39805ADF-8668-4195-98B4-68B83F19FF8E}" name="Cost  category" dataDxfId="1">
      <calculatedColumnFormula>IF(G2&gt;75000,"high cost","Low Cost")</calculatedColumnFormula>
    </tableColumn>
    <tableColumn id="11" xr3:uid="{C5D33921-1B77-43D3-8B74-16FAD462BE91}" name="Age treatment" dataDxfId="0">
      <calculatedColumnFormula>IF(F2&lt;=5,"Infant / Toddler",
IF(F2&lt;=12,"Child",
IF(F2&lt;=19,"Teenager",
IF(F2&lt;=29,"Young Adult",
IF(F2&lt;=44,"Adult",
IF(F2&lt;=59,"Middle-aged",
IF(F2&lt;=74,"Senior","Elderly")))))))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AC53-4ACF-4487-9921-11F2F0885851}">
  <dimension ref="A1:J53"/>
  <sheetViews>
    <sheetView topLeftCell="B1" workbookViewId="0">
      <selection activeCell="J6" sqref="J6"/>
    </sheetView>
  </sheetViews>
  <sheetFormatPr defaultRowHeight="15" x14ac:dyDescent="0.25"/>
  <cols>
    <col min="1" max="1" width="12.140625" bestFit="1" customWidth="1"/>
    <col min="2" max="2" width="16.140625" bestFit="1" customWidth="1"/>
    <col min="3" max="3" width="17.42578125" bestFit="1" customWidth="1"/>
    <col min="4" max="4" width="15.140625" bestFit="1" customWidth="1"/>
    <col min="5" max="5" width="10" bestFit="1" customWidth="1"/>
    <col min="6" max="6" width="9.28515625" bestFit="1" customWidth="1"/>
    <col min="7" max="7" width="17.42578125" bestFit="1" customWidth="1"/>
    <col min="8" max="8" width="21.7109375" bestFit="1" customWidth="1"/>
    <col min="9" max="9" width="17.42578125" bestFit="1" customWidth="1"/>
  </cols>
  <sheetData>
    <row r="1" spans="1:10" x14ac:dyDescent="0.25">
      <c r="A1" s="4" t="s">
        <v>237</v>
      </c>
    </row>
    <row r="3" spans="1:10" x14ac:dyDescent="0.25">
      <c r="A3" t="s">
        <v>0</v>
      </c>
      <c r="B3" t="s">
        <v>1</v>
      </c>
      <c r="C3" t="s">
        <v>2</v>
      </c>
      <c r="D3" t="s">
        <v>3</v>
      </c>
      <c r="E3" t="s">
        <v>4</v>
      </c>
      <c r="F3" t="s">
        <v>5</v>
      </c>
      <c r="G3" t="s">
        <v>6</v>
      </c>
      <c r="H3" t="s">
        <v>7</v>
      </c>
      <c r="I3" t="s">
        <v>8</v>
      </c>
      <c r="J3" t="s">
        <v>238</v>
      </c>
    </row>
    <row r="4" spans="1:10" x14ac:dyDescent="0.25">
      <c r="A4" t="s">
        <v>9</v>
      </c>
      <c r="B4" t="s">
        <v>10</v>
      </c>
      <c r="C4" t="s">
        <v>11</v>
      </c>
      <c r="D4" t="s">
        <v>12</v>
      </c>
      <c r="E4" t="s">
        <v>13</v>
      </c>
      <c r="F4">
        <v>12</v>
      </c>
      <c r="G4">
        <v>68632.97</v>
      </c>
      <c r="H4">
        <v>21</v>
      </c>
      <c r="I4">
        <v>82</v>
      </c>
    </row>
    <row r="5" spans="1:10" x14ac:dyDescent="0.25">
      <c r="A5" t="s">
        <v>224</v>
      </c>
      <c r="B5" t="s">
        <v>22</v>
      </c>
      <c r="C5" t="s">
        <v>11</v>
      </c>
      <c r="D5" t="s">
        <v>17</v>
      </c>
      <c r="E5" t="s">
        <v>18</v>
      </c>
      <c r="F5">
        <v>90</v>
      </c>
      <c r="G5">
        <v>64936.83</v>
      </c>
      <c r="H5">
        <v>23</v>
      </c>
      <c r="I5">
        <v>51</v>
      </c>
    </row>
    <row r="6" spans="1:10" x14ac:dyDescent="0.25">
      <c r="A6" t="s">
        <v>19</v>
      </c>
      <c r="B6" t="s">
        <v>15</v>
      </c>
      <c r="C6" t="s">
        <v>11</v>
      </c>
      <c r="D6" t="s">
        <v>12</v>
      </c>
      <c r="E6" t="s">
        <v>18</v>
      </c>
      <c r="F6">
        <v>79</v>
      </c>
      <c r="G6">
        <v>10160.24</v>
      </c>
      <c r="H6">
        <v>2</v>
      </c>
      <c r="I6">
        <v>72</v>
      </c>
      <c r="J6" t="e" vm="1">
        <f t="shared" ref="J6:J35" si="0">_xleta.IF</f>
        <v>#VALUE!</v>
      </c>
    </row>
    <row r="7" spans="1:10" x14ac:dyDescent="0.25">
      <c r="A7" t="s">
        <v>20</v>
      </c>
      <c r="B7" t="s">
        <v>15</v>
      </c>
      <c r="C7" t="s">
        <v>11</v>
      </c>
      <c r="D7" t="s">
        <v>12</v>
      </c>
      <c r="E7" t="s">
        <v>13</v>
      </c>
      <c r="F7">
        <v>23</v>
      </c>
      <c r="G7">
        <v>103508.96</v>
      </c>
      <c r="H7">
        <v>20</v>
      </c>
      <c r="I7">
        <v>50</v>
      </c>
      <c r="J7" t="e" vm="1">
        <f t="shared" si="0"/>
        <v>#VALUE!</v>
      </c>
    </row>
    <row r="8" spans="1:10" x14ac:dyDescent="0.25">
      <c r="A8" t="s">
        <v>212</v>
      </c>
      <c r="B8" t="s">
        <v>36</v>
      </c>
      <c r="C8" t="s">
        <v>11</v>
      </c>
      <c r="D8" t="s">
        <v>26</v>
      </c>
      <c r="E8" t="s">
        <v>13</v>
      </c>
      <c r="F8">
        <v>72</v>
      </c>
      <c r="G8">
        <v>56437.97</v>
      </c>
      <c r="H8">
        <v>21</v>
      </c>
      <c r="I8">
        <v>78</v>
      </c>
      <c r="J8" t="e" vm="1">
        <f t="shared" si="0"/>
        <v>#VALUE!</v>
      </c>
    </row>
    <row r="9" spans="1:10" x14ac:dyDescent="0.25">
      <c r="A9" t="s">
        <v>204</v>
      </c>
      <c r="B9" t="s">
        <v>25</v>
      </c>
      <c r="C9" t="s">
        <v>11</v>
      </c>
      <c r="D9" t="s">
        <v>17</v>
      </c>
      <c r="E9" t="s">
        <v>18</v>
      </c>
      <c r="F9">
        <v>54</v>
      </c>
      <c r="G9">
        <v>68133.7</v>
      </c>
      <c r="H9">
        <v>9</v>
      </c>
      <c r="I9">
        <v>60</v>
      </c>
      <c r="J9" t="e" vm="1">
        <f t="shared" si="0"/>
        <v>#VALUE!</v>
      </c>
    </row>
    <row r="10" spans="1:10" x14ac:dyDescent="0.25">
      <c r="A10" t="s">
        <v>199</v>
      </c>
      <c r="B10" t="s">
        <v>10</v>
      </c>
      <c r="C10" t="s">
        <v>11</v>
      </c>
      <c r="D10" t="s">
        <v>26</v>
      </c>
      <c r="E10" t="s">
        <v>29</v>
      </c>
      <c r="F10">
        <v>59</v>
      </c>
      <c r="G10">
        <v>96326.11</v>
      </c>
      <c r="H10">
        <v>17</v>
      </c>
      <c r="I10">
        <v>82</v>
      </c>
      <c r="J10" t="e" vm="1">
        <f t="shared" si="0"/>
        <v>#VALUE!</v>
      </c>
    </row>
    <row r="11" spans="1:10" x14ac:dyDescent="0.25">
      <c r="A11" t="s">
        <v>196</v>
      </c>
      <c r="B11" t="s">
        <v>31</v>
      </c>
      <c r="C11" t="s">
        <v>11</v>
      </c>
      <c r="D11" t="s">
        <v>12</v>
      </c>
      <c r="E11" t="s">
        <v>29</v>
      </c>
      <c r="F11">
        <v>56</v>
      </c>
      <c r="G11">
        <v>36862.400000000001</v>
      </c>
      <c r="H11">
        <v>28</v>
      </c>
      <c r="I11">
        <v>66</v>
      </c>
      <c r="J11" t="e" vm="1">
        <f t="shared" si="0"/>
        <v>#VALUE!</v>
      </c>
    </row>
    <row r="12" spans="1:10" x14ac:dyDescent="0.25">
      <c r="A12" t="s">
        <v>195</v>
      </c>
      <c r="B12" t="s">
        <v>15</v>
      </c>
      <c r="C12" t="s">
        <v>11</v>
      </c>
      <c r="D12" t="s">
        <v>26</v>
      </c>
      <c r="E12" t="s">
        <v>18</v>
      </c>
      <c r="F12">
        <v>36</v>
      </c>
      <c r="G12">
        <v>24614.639999999999</v>
      </c>
      <c r="H12">
        <v>30</v>
      </c>
      <c r="I12">
        <v>57</v>
      </c>
      <c r="J12" t="e" vm="1">
        <f t="shared" si="0"/>
        <v>#VALUE!</v>
      </c>
    </row>
    <row r="13" spans="1:10" x14ac:dyDescent="0.25">
      <c r="A13" t="s">
        <v>190</v>
      </c>
      <c r="B13" t="s">
        <v>31</v>
      </c>
      <c r="C13" t="s">
        <v>11</v>
      </c>
      <c r="D13" t="s">
        <v>23</v>
      </c>
      <c r="E13" t="s">
        <v>18</v>
      </c>
      <c r="F13">
        <v>14</v>
      </c>
      <c r="G13">
        <v>123398.79</v>
      </c>
      <c r="H13">
        <v>21</v>
      </c>
      <c r="I13">
        <v>77</v>
      </c>
      <c r="J13" t="e" vm="1">
        <f t="shared" si="0"/>
        <v>#VALUE!</v>
      </c>
    </row>
    <row r="14" spans="1:10" x14ac:dyDescent="0.25">
      <c r="A14" t="s">
        <v>187</v>
      </c>
      <c r="B14" t="s">
        <v>15</v>
      </c>
      <c r="C14" t="s">
        <v>11</v>
      </c>
      <c r="D14" t="s">
        <v>26</v>
      </c>
      <c r="E14" t="s">
        <v>18</v>
      </c>
      <c r="F14">
        <v>80</v>
      </c>
      <c r="G14">
        <v>140818.37</v>
      </c>
      <c r="H14">
        <v>9</v>
      </c>
      <c r="I14">
        <v>42</v>
      </c>
      <c r="J14" t="e" vm="1">
        <f t="shared" si="0"/>
        <v>#VALUE!</v>
      </c>
    </row>
    <row r="15" spans="1:10" x14ac:dyDescent="0.25">
      <c r="A15" t="s">
        <v>175</v>
      </c>
      <c r="B15" t="s">
        <v>15</v>
      </c>
      <c r="C15" t="s">
        <v>11</v>
      </c>
      <c r="D15" t="s">
        <v>32</v>
      </c>
      <c r="E15" t="s">
        <v>13</v>
      </c>
      <c r="F15">
        <v>78</v>
      </c>
      <c r="G15">
        <v>15165.98</v>
      </c>
      <c r="H15">
        <v>25</v>
      </c>
      <c r="I15">
        <v>86</v>
      </c>
      <c r="J15" t="e" vm="1">
        <f t="shared" si="0"/>
        <v>#VALUE!</v>
      </c>
    </row>
    <row r="16" spans="1:10" x14ac:dyDescent="0.25">
      <c r="A16" t="s">
        <v>173</v>
      </c>
      <c r="B16" t="s">
        <v>36</v>
      </c>
      <c r="C16" t="s">
        <v>11</v>
      </c>
      <c r="D16" t="s">
        <v>26</v>
      </c>
      <c r="E16" t="s">
        <v>18</v>
      </c>
      <c r="F16">
        <v>61</v>
      </c>
      <c r="G16">
        <v>32781.94</v>
      </c>
      <c r="H16">
        <v>1</v>
      </c>
      <c r="I16">
        <v>83</v>
      </c>
      <c r="J16" t="e" vm="1">
        <f t="shared" si="0"/>
        <v>#VALUE!</v>
      </c>
    </row>
    <row r="17" spans="1:10" x14ac:dyDescent="0.25">
      <c r="A17" t="s">
        <v>162</v>
      </c>
      <c r="B17" t="s">
        <v>25</v>
      </c>
      <c r="C17" t="s">
        <v>11</v>
      </c>
      <c r="D17" t="s">
        <v>26</v>
      </c>
      <c r="E17" t="s">
        <v>13</v>
      </c>
      <c r="F17">
        <v>49</v>
      </c>
      <c r="G17">
        <v>127750.62</v>
      </c>
      <c r="H17">
        <v>18</v>
      </c>
      <c r="I17">
        <v>60</v>
      </c>
      <c r="J17" t="e" vm="1">
        <f t="shared" si="0"/>
        <v>#VALUE!</v>
      </c>
    </row>
    <row r="18" spans="1:10" x14ac:dyDescent="0.25">
      <c r="A18" t="s">
        <v>159</v>
      </c>
      <c r="B18" t="s">
        <v>31</v>
      </c>
      <c r="C18" t="s">
        <v>11</v>
      </c>
      <c r="D18" t="s">
        <v>32</v>
      </c>
      <c r="E18" t="s">
        <v>29</v>
      </c>
      <c r="F18">
        <v>50</v>
      </c>
      <c r="G18">
        <v>62134.18</v>
      </c>
      <c r="H18">
        <v>13</v>
      </c>
      <c r="I18">
        <v>40</v>
      </c>
      <c r="J18" t="e" vm="1">
        <f t="shared" si="0"/>
        <v>#VALUE!</v>
      </c>
    </row>
    <row r="19" spans="1:10" x14ac:dyDescent="0.25">
      <c r="A19" t="s">
        <v>158</v>
      </c>
      <c r="B19" t="s">
        <v>22</v>
      </c>
      <c r="C19" t="s">
        <v>11</v>
      </c>
      <c r="D19" t="s">
        <v>23</v>
      </c>
      <c r="E19" t="s">
        <v>18</v>
      </c>
      <c r="F19">
        <v>53</v>
      </c>
      <c r="G19">
        <v>103548.4</v>
      </c>
      <c r="H19">
        <v>27</v>
      </c>
      <c r="I19">
        <v>74</v>
      </c>
      <c r="J19" t="e" vm="1">
        <f t="shared" si="0"/>
        <v>#VALUE!</v>
      </c>
    </row>
    <row r="20" spans="1:10" x14ac:dyDescent="0.25">
      <c r="A20" t="s">
        <v>152</v>
      </c>
      <c r="B20" t="s">
        <v>22</v>
      </c>
      <c r="C20" t="s">
        <v>11</v>
      </c>
      <c r="D20" t="s">
        <v>32</v>
      </c>
      <c r="E20" t="s">
        <v>18</v>
      </c>
      <c r="F20">
        <v>35</v>
      </c>
      <c r="G20">
        <v>132265.98000000001</v>
      </c>
      <c r="H20">
        <v>7</v>
      </c>
      <c r="I20">
        <v>45</v>
      </c>
      <c r="J20" t="e" vm="1">
        <f t="shared" si="0"/>
        <v>#VALUE!</v>
      </c>
    </row>
    <row r="21" spans="1:10" x14ac:dyDescent="0.25">
      <c r="A21" t="s">
        <v>44</v>
      </c>
      <c r="B21" t="s">
        <v>36</v>
      </c>
      <c r="C21" t="s">
        <v>11</v>
      </c>
      <c r="D21" t="s">
        <v>23</v>
      </c>
      <c r="E21" t="s">
        <v>18</v>
      </c>
      <c r="F21">
        <v>25</v>
      </c>
      <c r="G21">
        <v>142574.53</v>
      </c>
      <c r="H21">
        <v>30</v>
      </c>
      <c r="I21">
        <v>99</v>
      </c>
      <c r="J21" t="e" vm="1">
        <f t="shared" si="0"/>
        <v>#VALUE!</v>
      </c>
    </row>
    <row r="22" spans="1:10" x14ac:dyDescent="0.25">
      <c r="A22" t="s">
        <v>150</v>
      </c>
      <c r="B22" t="s">
        <v>36</v>
      </c>
      <c r="C22" t="s">
        <v>11</v>
      </c>
      <c r="D22" t="s">
        <v>26</v>
      </c>
      <c r="E22" t="s">
        <v>13</v>
      </c>
      <c r="F22">
        <v>3</v>
      </c>
      <c r="G22">
        <v>46506.94</v>
      </c>
      <c r="H22">
        <v>9</v>
      </c>
      <c r="I22">
        <v>72</v>
      </c>
      <c r="J22" t="e" vm="1">
        <f t="shared" si="0"/>
        <v>#VALUE!</v>
      </c>
    </row>
    <row r="23" spans="1:10" x14ac:dyDescent="0.25">
      <c r="A23" t="s">
        <v>140</v>
      </c>
      <c r="B23" t="s">
        <v>10</v>
      </c>
      <c r="C23" t="s">
        <v>11</v>
      </c>
      <c r="D23" t="s">
        <v>17</v>
      </c>
      <c r="E23" t="s">
        <v>13</v>
      </c>
      <c r="F23">
        <v>47</v>
      </c>
      <c r="G23">
        <v>134120.62</v>
      </c>
      <c r="H23">
        <v>11</v>
      </c>
      <c r="I23">
        <v>92</v>
      </c>
      <c r="J23" t="e" vm="1">
        <f t="shared" si="0"/>
        <v>#VALUE!</v>
      </c>
    </row>
    <row r="24" spans="1:10" x14ac:dyDescent="0.25">
      <c r="A24" t="s">
        <v>47</v>
      </c>
      <c r="B24" t="s">
        <v>15</v>
      </c>
      <c r="C24" t="s">
        <v>11</v>
      </c>
      <c r="D24" t="s">
        <v>26</v>
      </c>
      <c r="E24" t="s">
        <v>18</v>
      </c>
      <c r="F24">
        <v>31</v>
      </c>
      <c r="G24">
        <v>51842.34</v>
      </c>
      <c r="H24">
        <v>15</v>
      </c>
      <c r="I24">
        <v>74</v>
      </c>
      <c r="J24" t="e" vm="1">
        <f t="shared" si="0"/>
        <v>#VALUE!</v>
      </c>
    </row>
    <row r="25" spans="1:10" x14ac:dyDescent="0.25">
      <c r="A25" t="s">
        <v>48</v>
      </c>
      <c r="B25" t="s">
        <v>36</v>
      </c>
      <c r="C25" t="s">
        <v>11</v>
      </c>
      <c r="D25" t="s">
        <v>26</v>
      </c>
      <c r="E25" t="s">
        <v>18</v>
      </c>
      <c r="F25">
        <v>66</v>
      </c>
      <c r="G25">
        <v>30547.73</v>
      </c>
      <c r="H25">
        <v>11</v>
      </c>
      <c r="I25">
        <v>47</v>
      </c>
      <c r="J25" t="e" vm="1">
        <f t="shared" si="0"/>
        <v>#VALUE!</v>
      </c>
    </row>
    <row r="26" spans="1:10" x14ac:dyDescent="0.25">
      <c r="A26" t="s">
        <v>49</v>
      </c>
      <c r="B26" t="s">
        <v>22</v>
      </c>
      <c r="C26" t="s">
        <v>11</v>
      </c>
      <c r="D26" t="s">
        <v>32</v>
      </c>
      <c r="E26" t="s">
        <v>18</v>
      </c>
      <c r="F26">
        <v>68</v>
      </c>
      <c r="G26">
        <v>68961.679999999993</v>
      </c>
      <c r="H26">
        <v>5</v>
      </c>
      <c r="I26">
        <v>67</v>
      </c>
      <c r="J26" t="e" vm="1">
        <f t="shared" si="0"/>
        <v>#VALUE!</v>
      </c>
    </row>
    <row r="27" spans="1:10" x14ac:dyDescent="0.25">
      <c r="A27" t="s">
        <v>50</v>
      </c>
      <c r="B27" t="s">
        <v>36</v>
      </c>
      <c r="C27" t="s">
        <v>11</v>
      </c>
      <c r="D27" t="s">
        <v>32</v>
      </c>
      <c r="E27" t="s">
        <v>29</v>
      </c>
      <c r="F27">
        <v>75</v>
      </c>
      <c r="G27">
        <v>89887.05</v>
      </c>
      <c r="H27">
        <v>28</v>
      </c>
      <c r="I27">
        <v>92</v>
      </c>
      <c r="J27" t="e" vm="1">
        <f t="shared" si="0"/>
        <v>#VALUE!</v>
      </c>
    </row>
    <row r="28" spans="1:10" x14ac:dyDescent="0.25">
      <c r="A28" t="s">
        <v>139</v>
      </c>
      <c r="B28" t="s">
        <v>31</v>
      </c>
      <c r="C28" t="s">
        <v>11</v>
      </c>
      <c r="D28" t="s">
        <v>17</v>
      </c>
      <c r="E28" t="s">
        <v>18</v>
      </c>
      <c r="F28">
        <v>75</v>
      </c>
      <c r="G28">
        <v>85517.09</v>
      </c>
      <c r="H28">
        <v>6</v>
      </c>
      <c r="I28">
        <v>79</v>
      </c>
      <c r="J28" t="e" vm="1">
        <f t="shared" si="0"/>
        <v>#VALUE!</v>
      </c>
    </row>
    <row r="29" spans="1:10" x14ac:dyDescent="0.25">
      <c r="A29" t="s">
        <v>52</v>
      </c>
      <c r="B29" t="s">
        <v>31</v>
      </c>
      <c r="C29" t="s">
        <v>11</v>
      </c>
      <c r="D29" t="s">
        <v>23</v>
      </c>
      <c r="E29" t="s">
        <v>18</v>
      </c>
      <c r="F29">
        <v>56</v>
      </c>
      <c r="G29">
        <v>47635.12</v>
      </c>
      <c r="H29">
        <v>3</v>
      </c>
      <c r="I29">
        <v>47</v>
      </c>
      <c r="J29" t="e" vm="1">
        <f t="shared" si="0"/>
        <v>#VALUE!</v>
      </c>
    </row>
    <row r="30" spans="1:10" x14ac:dyDescent="0.25">
      <c r="A30" t="s">
        <v>128</v>
      </c>
      <c r="B30" t="s">
        <v>31</v>
      </c>
      <c r="C30" t="s">
        <v>11</v>
      </c>
      <c r="D30" t="s">
        <v>23</v>
      </c>
      <c r="E30" t="s">
        <v>29</v>
      </c>
      <c r="F30">
        <v>70</v>
      </c>
      <c r="G30">
        <v>58132.5</v>
      </c>
      <c r="H30">
        <v>25</v>
      </c>
      <c r="I30">
        <v>43</v>
      </c>
      <c r="J30" t="e" vm="1">
        <f t="shared" si="0"/>
        <v>#VALUE!</v>
      </c>
    </row>
    <row r="31" spans="1:10" x14ac:dyDescent="0.25">
      <c r="A31" t="s">
        <v>54</v>
      </c>
      <c r="B31" t="s">
        <v>25</v>
      </c>
      <c r="C31" t="s">
        <v>11</v>
      </c>
      <c r="D31" t="s">
        <v>23</v>
      </c>
      <c r="E31" t="s">
        <v>18</v>
      </c>
      <c r="F31">
        <v>31</v>
      </c>
      <c r="G31">
        <v>103276.56</v>
      </c>
      <c r="H31">
        <v>30</v>
      </c>
      <c r="I31">
        <v>84</v>
      </c>
      <c r="J31" t="e" vm="1">
        <f t="shared" si="0"/>
        <v>#VALUE!</v>
      </c>
    </row>
    <row r="32" spans="1:10" x14ac:dyDescent="0.25">
      <c r="A32" t="s">
        <v>126</v>
      </c>
      <c r="B32" t="s">
        <v>36</v>
      </c>
      <c r="C32" t="s">
        <v>11</v>
      </c>
      <c r="D32" t="s">
        <v>23</v>
      </c>
      <c r="E32" t="s">
        <v>13</v>
      </c>
      <c r="F32">
        <v>30</v>
      </c>
      <c r="G32">
        <v>115395.67</v>
      </c>
      <c r="H32">
        <v>11</v>
      </c>
      <c r="I32">
        <v>74</v>
      </c>
      <c r="J32" t="e" vm="1">
        <f t="shared" si="0"/>
        <v>#VALUE!</v>
      </c>
    </row>
    <row r="33" spans="1:10" x14ac:dyDescent="0.25">
      <c r="A33" t="s">
        <v>124</v>
      </c>
      <c r="B33" t="s">
        <v>15</v>
      </c>
      <c r="C33" t="s">
        <v>11</v>
      </c>
      <c r="D33" t="s">
        <v>12</v>
      </c>
      <c r="E33" t="s">
        <v>29</v>
      </c>
      <c r="F33">
        <v>35</v>
      </c>
      <c r="G33">
        <v>85523.17</v>
      </c>
      <c r="H33">
        <v>30</v>
      </c>
      <c r="I33">
        <v>90</v>
      </c>
      <c r="J33" t="e" vm="1">
        <f t="shared" si="0"/>
        <v>#VALUE!</v>
      </c>
    </row>
    <row r="34" spans="1:10" x14ac:dyDescent="0.25">
      <c r="A34" t="s">
        <v>118</v>
      </c>
      <c r="B34" t="s">
        <v>15</v>
      </c>
      <c r="C34" t="s">
        <v>11</v>
      </c>
      <c r="D34" t="s">
        <v>17</v>
      </c>
      <c r="E34" t="s">
        <v>29</v>
      </c>
      <c r="F34">
        <v>66</v>
      </c>
      <c r="G34">
        <v>54562.1</v>
      </c>
      <c r="H34">
        <v>21</v>
      </c>
      <c r="I34">
        <v>86</v>
      </c>
      <c r="J34" t="e" vm="1">
        <f t="shared" si="0"/>
        <v>#VALUE!</v>
      </c>
    </row>
    <row r="35" spans="1:10" x14ac:dyDescent="0.25">
      <c r="A35" t="s">
        <v>117</v>
      </c>
      <c r="B35" t="s">
        <v>31</v>
      </c>
      <c r="C35" t="s">
        <v>11</v>
      </c>
      <c r="D35" t="s">
        <v>23</v>
      </c>
      <c r="E35" t="s">
        <v>29</v>
      </c>
      <c r="F35">
        <v>30</v>
      </c>
      <c r="G35">
        <v>147742.63</v>
      </c>
      <c r="H35">
        <v>28</v>
      </c>
      <c r="I35">
        <v>62</v>
      </c>
      <c r="J35" t="e" vm="1">
        <f t="shared" si="0"/>
        <v>#VALUE!</v>
      </c>
    </row>
    <row r="36" spans="1:10" x14ac:dyDescent="0.25">
      <c r="A36" t="s">
        <v>115</v>
      </c>
      <c r="B36" t="s">
        <v>36</v>
      </c>
      <c r="C36" t="s">
        <v>11</v>
      </c>
      <c r="D36" t="s">
        <v>17</v>
      </c>
      <c r="E36" t="s">
        <v>18</v>
      </c>
      <c r="F36">
        <v>7</v>
      </c>
      <c r="G36">
        <v>22311.39</v>
      </c>
      <c r="H36">
        <v>14</v>
      </c>
      <c r="I36">
        <v>86</v>
      </c>
      <c r="J36" t="e" vm="1">
        <f t="shared" ref="J36:J53" si="1">_xleta.IF</f>
        <v>#VALUE!</v>
      </c>
    </row>
    <row r="37" spans="1:10" x14ac:dyDescent="0.25">
      <c r="A37" t="s">
        <v>60</v>
      </c>
      <c r="B37" t="s">
        <v>22</v>
      </c>
      <c r="C37" t="s">
        <v>11</v>
      </c>
      <c r="D37" t="s">
        <v>12</v>
      </c>
      <c r="E37" t="s">
        <v>29</v>
      </c>
      <c r="F37">
        <v>58</v>
      </c>
      <c r="G37">
        <v>41426.04</v>
      </c>
      <c r="H37">
        <v>6</v>
      </c>
      <c r="I37">
        <v>67</v>
      </c>
      <c r="J37" t="e" vm="1">
        <f t="shared" si="1"/>
        <v>#VALUE!</v>
      </c>
    </row>
    <row r="38" spans="1:10" x14ac:dyDescent="0.25">
      <c r="A38" t="s">
        <v>109</v>
      </c>
      <c r="B38" t="s">
        <v>25</v>
      </c>
      <c r="C38" t="s">
        <v>11</v>
      </c>
      <c r="D38" t="s">
        <v>23</v>
      </c>
      <c r="E38" t="s">
        <v>13</v>
      </c>
      <c r="F38">
        <v>71</v>
      </c>
      <c r="G38">
        <v>11066.61</v>
      </c>
      <c r="H38">
        <v>17</v>
      </c>
      <c r="I38">
        <v>86</v>
      </c>
      <c r="J38" t="e" vm="1">
        <f t="shared" si="1"/>
        <v>#VALUE!</v>
      </c>
    </row>
    <row r="39" spans="1:10" x14ac:dyDescent="0.25">
      <c r="A39" t="s">
        <v>108</v>
      </c>
      <c r="B39" t="s">
        <v>22</v>
      </c>
      <c r="C39" t="s">
        <v>11</v>
      </c>
      <c r="D39" t="s">
        <v>12</v>
      </c>
      <c r="E39" t="s">
        <v>29</v>
      </c>
      <c r="F39">
        <v>13</v>
      </c>
      <c r="G39">
        <v>137441.75</v>
      </c>
      <c r="H39">
        <v>23</v>
      </c>
      <c r="I39">
        <v>74</v>
      </c>
      <c r="J39" t="e" vm="1">
        <f t="shared" si="1"/>
        <v>#VALUE!</v>
      </c>
    </row>
    <row r="40" spans="1:10" x14ac:dyDescent="0.25">
      <c r="A40" t="s">
        <v>63</v>
      </c>
      <c r="B40" t="s">
        <v>15</v>
      </c>
      <c r="C40" t="s">
        <v>11</v>
      </c>
      <c r="D40" t="s">
        <v>17</v>
      </c>
      <c r="E40" t="s">
        <v>13</v>
      </c>
      <c r="F40">
        <v>41</v>
      </c>
      <c r="G40">
        <v>143381.07</v>
      </c>
      <c r="H40">
        <v>1</v>
      </c>
      <c r="I40">
        <v>87</v>
      </c>
      <c r="J40" t="e" vm="1">
        <f t="shared" si="1"/>
        <v>#VALUE!</v>
      </c>
    </row>
    <row r="41" spans="1:10" x14ac:dyDescent="0.25">
      <c r="A41" t="s">
        <v>64</v>
      </c>
      <c r="B41" t="s">
        <v>15</v>
      </c>
      <c r="C41" t="s">
        <v>11</v>
      </c>
      <c r="D41" t="s">
        <v>17</v>
      </c>
      <c r="E41" t="s">
        <v>18</v>
      </c>
      <c r="F41">
        <v>3</v>
      </c>
      <c r="G41">
        <v>50045.440000000002</v>
      </c>
      <c r="H41">
        <v>15</v>
      </c>
      <c r="I41">
        <v>84</v>
      </c>
      <c r="J41" t="e" vm="1">
        <f t="shared" si="1"/>
        <v>#VALUE!</v>
      </c>
    </row>
    <row r="42" spans="1:10" x14ac:dyDescent="0.25">
      <c r="A42" t="s">
        <v>65</v>
      </c>
      <c r="B42" t="s">
        <v>22</v>
      </c>
      <c r="C42" t="s">
        <v>11</v>
      </c>
      <c r="D42" t="s">
        <v>17</v>
      </c>
      <c r="E42" t="s">
        <v>29</v>
      </c>
      <c r="F42">
        <v>58</v>
      </c>
      <c r="G42">
        <v>86479.95</v>
      </c>
      <c r="H42">
        <v>1</v>
      </c>
      <c r="I42">
        <v>75</v>
      </c>
      <c r="J42" t="e" vm="1">
        <f t="shared" si="1"/>
        <v>#VALUE!</v>
      </c>
    </row>
    <row r="43" spans="1:10" x14ac:dyDescent="0.25">
      <c r="A43" t="s">
        <v>107</v>
      </c>
      <c r="B43" t="s">
        <v>25</v>
      </c>
      <c r="C43" t="s">
        <v>11</v>
      </c>
      <c r="D43" t="s">
        <v>32</v>
      </c>
      <c r="E43" t="s">
        <v>13</v>
      </c>
      <c r="F43">
        <v>5</v>
      </c>
      <c r="G43">
        <v>64103.040000000001</v>
      </c>
      <c r="H43">
        <v>14</v>
      </c>
      <c r="I43">
        <v>42</v>
      </c>
      <c r="J43" t="e" vm="1">
        <f t="shared" si="1"/>
        <v>#VALUE!</v>
      </c>
    </row>
    <row r="44" spans="1:10" x14ac:dyDescent="0.25">
      <c r="A44" t="s">
        <v>106</v>
      </c>
      <c r="B44" t="s">
        <v>36</v>
      </c>
      <c r="C44" t="s">
        <v>11</v>
      </c>
      <c r="D44" t="s">
        <v>32</v>
      </c>
      <c r="E44" t="s">
        <v>29</v>
      </c>
      <c r="F44">
        <v>12</v>
      </c>
      <c r="G44">
        <v>69472.05</v>
      </c>
      <c r="H44">
        <v>11</v>
      </c>
      <c r="I44">
        <v>68</v>
      </c>
      <c r="J44" t="e" vm="1">
        <f t="shared" si="1"/>
        <v>#VALUE!</v>
      </c>
    </row>
    <row r="45" spans="1:10" x14ac:dyDescent="0.25">
      <c r="A45" t="s">
        <v>104</v>
      </c>
      <c r="B45" t="s">
        <v>22</v>
      </c>
      <c r="C45" t="s">
        <v>11</v>
      </c>
      <c r="D45" t="s">
        <v>23</v>
      </c>
      <c r="E45" t="s">
        <v>29</v>
      </c>
      <c r="F45">
        <v>7</v>
      </c>
      <c r="G45">
        <v>23799.83</v>
      </c>
      <c r="H45">
        <v>26</v>
      </c>
      <c r="I45">
        <v>52</v>
      </c>
      <c r="J45" t="e" vm="1">
        <f t="shared" si="1"/>
        <v>#VALUE!</v>
      </c>
    </row>
    <row r="46" spans="1:10" x14ac:dyDescent="0.25">
      <c r="A46" t="s">
        <v>69</v>
      </c>
      <c r="B46" t="s">
        <v>10</v>
      </c>
      <c r="C46" t="s">
        <v>11</v>
      </c>
      <c r="D46" t="s">
        <v>26</v>
      </c>
      <c r="E46" t="s">
        <v>18</v>
      </c>
      <c r="F46">
        <v>22</v>
      </c>
      <c r="G46">
        <v>100035.91</v>
      </c>
      <c r="H46">
        <v>29</v>
      </c>
      <c r="I46">
        <v>70</v>
      </c>
      <c r="J46" t="e" vm="1">
        <f t="shared" si="1"/>
        <v>#VALUE!</v>
      </c>
    </row>
    <row r="47" spans="1:10" x14ac:dyDescent="0.25">
      <c r="A47" t="s">
        <v>92</v>
      </c>
      <c r="B47" t="s">
        <v>10</v>
      </c>
      <c r="C47" t="s">
        <v>11</v>
      </c>
      <c r="D47" t="s">
        <v>23</v>
      </c>
      <c r="E47" t="s">
        <v>13</v>
      </c>
      <c r="F47">
        <v>4</v>
      </c>
      <c r="G47">
        <v>66339.33</v>
      </c>
      <c r="H47">
        <v>5</v>
      </c>
      <c r="I47">
        <v>77</v>
      </c>
      <c r="J47" t="e" vm="1">
        <f t="shared" si="1"/>
        <v>#VALUE!</v>
      </c>
    </row>
    <row r="48" spans="1:10" x14ac:dyDescent="0.25">
      <c r="A48" t="s">
        <v>71</v>
      </c>
      <c r="B48" t="s">
        <v>10</v>
      </c>
      <c r="C48" t="s">
        <v>11</v>
      </c>
      <c r="D48" t="s">
        <v>12</v>
      </c>
      <c r="E48" t="s">
        <v>13</v>
      </c>
      <c r="F48">
        <v>79</v>
      </c>
      <c r="G48">
        <v>105328.19</v>
      </c>
      <c r="H48">
        <v>26</v>
      </c>
      <c r="I48">
        <v>94</v>
      </c>
      <c r="J48" t="e" vm="1">
        <f t="shared" si="1"/>
        <v>#VALUE!</v>
      </c>
    </row>
    <row r="49" spans="1:10" x14ac:dyDescent="0.25">
      <c r="A49" t="s">
        <v>87</v>
      </c>
      <c r="B49" t="s">
        <v>22</v>
      </c>
      <c r="C49" t="s">
        <v>11</v>
      </c>
      <c r="D49" t="s">
        <v>32</v>
      </c>
      <c r="E49" t="s">
        <v>13</v>
      </c>
      <c r="F49">
        <v>14</v>
      </c>
      <c r="G49">
        <v>12241.3</v>
      </c>
      <c r="H49">
        <v>20</v>
      </c>
      <c r="I49">
        <v>40</v>
      </c>
      <c r="J49" t="e" vm="1">
        <f t="shared" si="1"/>
        <v>#VALUE!</v>
      </c>
    </row>
    <row r="50" spans="1:10" x14ac:dyDescent="0.25">
      <c r="A50" t="s">
        <v>73</v>
      </c>
      <c r="B50" t="s">
        <v>36</v>
      </c>
      <c r="C50" t="s">
        <v>11</v>
      </c>
      <c r="D50" t="s">
        <v>32</v>
      </c>
      <c r="E50" t="s">
        <v>18</v>
      </c>
      <c r="F50">
        <v>37</v>
      </c>
      <c r="G50">
        <v>77556.53</v>
      </c>
      <c r="H50">
        <v>24</v>
      </c>
      <c r="I50">
        <v>87</v>
      </c>
      <c r="J50" t="e" vm="1">
        <f t="shared" si="1"/>
        <v>#VALUE!</v>
      </c>
    </row>
    <row r="51" spans="1:10" x14ac:dyDescent="0.25">
      <c r="A51" t="s">
        <v>83</v>
      </c>
      <c r="B51" t="s">
        <v>15</v>
      </c>
      <c r="C51" t="s">
        <v>11</v>
      </c>
      <c r="D51" t="s">
        <v>12</v>
      </c>
      <c r="E51" t="s">
        <v>18</v>
      </c>
      <c r="F51">
        <v>7</v>
      </c>
      <c r="G51">
        <v>127110.45</v>
      </c>
      <c r="H51">
        <v>30</v>
      </c>
      <c r="I51">
        <v>100</v>
      </c>
      <c r="J51" t="e" vm="1">
        <f t="shared" si="1"/>
        <v>#VALUE!</v>
      </c>
    </row>
    <row r="52" spans="1:10" x14ac:dyDescent="0.25">
      <c r="A52" t="s">
        <v>82</v>
      </c>
      <c r="B52" t="s">
        <v>25</v>
      </c>
      <c r="C52" t="s">
        <v>11</v>
      </c>
      <c r="D52" t="s">
        <v>17</v>
      </c>
      <c r="E52" t="s">
        <v>18</v>
      </c>
      <c r="F52">
        <v>11</v>
      </c>
      <c r="G52">
        <v>39022.85</v>
      </c>
      <c r="H52">
        <v>8</v>
      </c>
      <c r="I52">
        <v>96</v>
      </c>
      <c r="J52" t="e" vm="1">
        <f t="shared" si="1"/>
        <v>#VALUE!</v>
      </c>
    </row>
    <row r="53" spans="1:10" x14ac:dyDescent="0.25">
      <c r="A53" t="s">
        <v>79</v>
      </c>
      <c r="B53" t="s">
        <v>22</v>
      </c>
      <c r="C53" t="s">
        <v>11</v>
      </c>
      <c r="D53" t="s">
        <v>23</v>
      </c>
      <c r="E53" t="s">
        <v>13</v>
      </c>
      <c r="F53">
        <v>21</v>
      </c>
      <c r="G53">
        <v>75334.19</v>
      </c>
      <c r="H53">
        <v>23</v>
      </c>
      <c r="I53">
        <v>51</v>
      </c>
      <c r="J53" t="e" vm="1">
        <f t="shared" si="1"/>
        <v>#VALUE!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09A56-288E-43BE-9A0E-6C4C529A86AD}">
  <dimension ref="A1:J51"/>
  <sheetViews>
    <sheetView workbookViewId="0">
      <selection activeCell="A3" sqref="A3:J51"/>
    </sheetView>
  </sheetViews>
  <sheetFormatPr defaultRowHeight="15" x14ac:dyDescent="0.25"/>
  <cols>
    <col min="1" max="1" width="12.140625" bestFit="1" customWidth="1"/>
    <col min="2" max="2" width="16.140625" bestFit="1" customWidth="1"/>
    <col min="3" max="3" width="17.42578125" bestFit="1" customWidth="1"/>
    <col min="4" max="4" width="15.140625" bestFit="1" customWidth="1"/>
    <col min="5" max="5" width="10" bestFit="1" customWidth="1"/>
    <col min="6" max="6" width="9.28515625" bestFit="1" customWidth="1"/>
    <col min="7" max="7" width="17.42578125" bestFit="1" customWidth="1"/>
    <col min="8" max="8" width="21.7109375" bestFit="1" customWidth="1"/>
    <col min="9" max="9" width="17.42578125" bestFit="1" customWidth="1"/>
    <col min="10" max="10" width="11.42578125" bestFit="1" customWidth="1"/>
  </cols>
  <sheetData>
    <row r="1" spans="1:10" x14ac:dyDescent="0.25">
      <c r="A1" s="4" t="s">
        <v>241</v>
      </c>
    </row>
    <row r="3" spans="1:10" x14ac:dyDescent="0.25">
      <c r="A3" t="s">
        <v>0</v>
      </c>
      <c r="B3" t="s">
        <v>1</v>
      </c>
      <c r="C3" t="s">
        <v>2</v>
      </c>
      <c r="D3" t="s">
        <v>3</v>
      </c>
      <c r="E3" t="s">
        <v>4</v>
      </c>
      <c r="F3" t="s">
        <v>5</v>
      </c>
      <c r="G3" t="s">
        <v>6</v>
      </c>
      <c r="H3" t="s">
        <v>7</v>
      </c>
      <c r="I3" t="s">
        <v>8</v>
      </c>
      <c r="J3" t="s">
        <v>238</v>
      </c>
    </row>
    <row r="4" spans="1:10" x14ac:dyDescent="0.25">
      <c r="A4" t="s">
        <v>226</v>
      </c>
      <c r="B4" t="s">
        <v>36</v>
      </c>
      <c r="C4" t="s">
        <v>41</v>
      </c>
      <c r="D4" t="s">
        <v>23</v>
      </c>
      <c r="E4" t="s">
        <v>13</v>
      </c>
      <c r="F4">
        <v>39</v>
      </c>
      <c r="G4">
        <v>145631.91</v>
      </c>
      <c r="H4">
        <v>6</v>
      </c>
      <c r="I4">
        <v>49</v>
      </c>
      <c r="J4" t="s">
        <v>239</v>
      </c>
    </row>
    <row r="5" spans="1:10" x14ac:dyDescent="0.25">
      <c r="A5" t="s">
        <v>225</v>
      </c>
      <c r="B5" t="s">
        <v>36</v>
      </c>
      <c r="C5" t="s">
        <v>41</v>
      </c>
      <c r="D5" t="s">
        <v>32</v>
      </c>
      <c r="E5" t="s">
        <v>13</v>
      </c>
      <c r="F5">
        <v>21</v>
      </c>
      <c r="G5">
        <v>57025.03</v>
      </c>
      <c r="H5">
        <v>18</v>
      </c>
      <c r="I5">
        <v>50</v>
      </c>
      <c r="J5" t="s">
        <v>240</v>
      </c>
    </row>
    <row r="6" spans="1:10" x14ac:dyDescent="0.25">
      <c r="A6" t="s">
        <v>221</v>
      </c>
      <c r="B6" t="s">
        <v>25</v>
      </c>
      <c r="C6" t="s">
        <v>41</v>
      </c>
      <c r="D6" t="s">
        <v>32</v>
      </c>
      <c r="E6" t="s">
        <v>13</v>
      </c>
      <c r="F6">
        <v>33</v>
      </c>
      <c r="G6">
        <v>56926.38</v>
      </c>
      <c r="H6">
        <v>11</v>
      </c>
      <c r="I6">
        <v>81</v>
      </c>
      <c r="J6" t="s">
        <v>240</v>
      </c>
    </row>
    <row r="7" spans="1:10" x14ac:dyDescent="0.25">
      <c r="A7" t="s">
        <v>217</v>
      </c>
      <c r="B7" t="s">
        <v>25</v>
      </c>
      <c r="C7" t="s">
        <v>41</v>
      </c>
      <c r="D7" t="s">
        <v>32</v>
      </c>
      <c r="E7" t="s">
        <v>29</v>
      </c>
      <c r="F7">
        <v>52</v>
      </c>
      <c r="G7">
        <v>69945.08</v>
      </c>
      <c r="H7">
        <v>8</v>
      </c>
      <c r="I7">
        <v>80</v>
      </c>
      <c r="J7" t="s">
        <v>240</v>
      </c>
    </row>
    <row r="8" spans="1:10" x14ac:dyDescent="0.25">
      <c r="A8" t="s">
        <v>214</v>
      </c>
      <c r="B8" t="s">
        <v>10</v>
      </c>
      <c r="C8" t="s">
        <v>41</v>
      </c>
      <c r="D8" t="s">
        <v>17</v>
      </c>
      <c r="E8" t="s">
        <v>13</v>
      </c>
      <c r="F8">
        <v>62</v>
      </c>
      <c r="G8">
        <v>13836.03</v>
      </c>
      <c r="H8">
        <v>15</v>
      </c>
      <c r="I8">
        <v>60</v>
      </c>
      <c r="J8" t="s">
        <v>240</v>
      </c>
    </row>
    <row r="9" spans="1:10" x14ac:dyDescent="0.25">
      <c r="A9" t="s">
        <v>206</v>
      </c>
      <c r="B9" t="s">
        <v>25</v>
      </c>
      <c r="C9" t="s">
        <v>41</v>
      </c>
      <c r="D9" t="s">
        <v>26</v>
      </c>
      <c r="E9" t="s">
        <v>18</v>
      </c>
      <c r="F9">
        <v>60</v>
      </c>
      <c r="G9">
        <v>22138.22</v>
      </c>
      <c r="H9">
        <v>3</v>
      </c>
      <c r="I9">
        <v>96</v>
      </c>
      <c r="J9" t="s">
        <v>240</v>
      </c>
    </row>
    <row r="10" spans="1:10" x14ac:dyDescent="0.25">
      <c r="A10" t="s">
        <v>201</v>
      </c>
      <c r="B10" t="s">
        <v>10</v>
      </c>
      <c r="C10" t="s">
        <v>41</v>
      </c>
      <c r="D10" t="s">
        <v>17</v>
      </c>
      <c r="E10" t="s">
        <v>18</v>
      </c>
      <c r="F10">
        <v>11</v>
      </c>
      <c r="G10">
        <v>18263.25</v>
      </c>
      <c r="H10">
        <v>29</v>
      </c>
      <c r="I10">
        <v>83</v>
      </c>
      <c r="J10" t="s">
        <v>240</v>
      </c>
    </row>
    <row r="11" spans="1:10" x14ac:dyDescent="0.25">
      <c r="A11" t="s">
        <v>200</v>
      </c>
      <c r="B11" t="s">
        <v>36</v>
      </c>
      <c r="C11" t="s">
        <v>41</v>
      </c>
      <c r="D11" t="s">
        <v>12</v>
      </c>
      <c r="E11" t="s">
        <v>18</v>
      </c>
      <c r="F11">
        <v>67</v>
      </c>
      <c r="G11">
        <v>49487.73</v>
      </c>
      <c r="H11">
        <v>27</v>
      </c>
      <c r="I11">
        <v>72</v>
      </c>
      <c r="J11" t="s">
        <v>240</v>
      </c>
    </row>
    <row r="12" spans="1:10" x14ac:dyDescent="0.25">
      <c r="A12" t="s">
        <v>198</v>
      </c>
      <c r="B12" t="s">
        <v>10</v>
      </c>
      <c r="C12" t="s">
        <v>41</v>
      </c>
      <c r="D12" t="s">
        <v>12</v>
      </c>
      <c r="E12" t="s">
        <v>29</v>
      </c>
      <c r="F12">
        <v>42</v>
      </c>
      <c r="G12">
        <v>83047.11</v>
      </c>
      <c r="H12">
        <v>13</v>
      </c>
      <c r="I12">
        <v>50</v>
      </c>
      <c r="J12" t="s">
        <v>239</v>
      </c>
    </row>
    <row r="13" spans="1:10" x14ac:dyDescent="0.25">
      <c r="A13" t="s">
        <v>194</v>
      </c>
      <c r="B13" t="s">
        <v>36</v>
      </c>
      <c r="C13" t="s">
        <v>41</v>
      </c>
      <c r="D13" t="s">
        <v>32</v>
      </c>
      <c r="E13" t="s">
        <v>29</v>
      </c>
      <c r="F13">
        <v>42</v>
      </c>
      <c r="G13">
        <v>92788.13</v>
      </c>
      <c r="H13">
        <v>4</v>
      </c>
      <c r="I13">
        <v>41</v>
      </c>
      <c r="J13" t="s">
        <v>239</v>
      </c>
    </row>
    <row r="14" spans="1:10" x14ac:dyDescent="0.25">
      <c r="A14" t="s">
        <v>193</v>
      </c>
      <c r="B14" t="s">
        <v>15</v>
      </c>
      <c r="C14" t="s">
        <v>41</v>
      </c>
      <c r="D14" t="s">
        <v>32</v>
      </c>
      <c r="E14" t="s">
        <v>29</v>
      </c>
      <c r="F14">
        <v>49</v>
      </c>
      <c r="G14">
        <v>126056.09</v>
      </c>
      <c r="H14">
        <v>11</v>
      </c>
      <c r="I14">
        <v>78</v>
      </c>
      <c r="J14" t="s">
        <v>239</v>
      </c>
    </row>
    <row r="15" spans="1:10" x14ac:dyDescent="0.25">
      <c r="A15" t="s">
        <v>191</v>
      </c>
      <c r="B15" t="s">
        <v>15</v>
      </c>
      <c r="C15" t="s">
        <v>41</v>
      </c>
      <c r="D15" t="s">
        <v>32</v>
      </c>
      <c r="E15" t="s">
        <v>18</v>
      </c>
      <c r="F15">
        <v>48</v>
      </c>
      <c r="G15">
        <v>10911.55</v>
      </c>
      <c r="H15">
        <v>19</v>
      </c>
      <c r="I15">
        <v>47</v>
      </c>
      <c r="J15" t="s">
        <v>240</v>
      </c>
    </row>
    <row r="16" spans="1:10" x14ac:dyDescent="0.25">
      <c r="A16" t="s">
        <v>189</v>
      </c>
      <c r="B16" t="s">
        <v>22</v>
      </c>
      <c r="C16" t="s">
        <v>41</v>
      </c>
      <c r="D16" t="s">
        <v>32</v>
      </c>
      <c r="E16" t="s">
        <v>29</v>
      </c>
      <c r="F16">
        <v>72</v>
      </c>
      <c r="G16">
        <v>144841.74</v>
      </c>
      <c r="H16">
        <v>5</v>
      </c>
      <c r="I16">
        <v>57</v>
      </c>
      <c r="J16" t="s">
        <v>239</v>
      </c>
    </row>
    <row r="17" spans="1:10" x14ac:dyDescent="0.25">
      <c r="A17" t="s">
        <v>188</v>
      </c>
      <c r="B17" t="s">
        <v>31</v>
      </c>
      <c r="C17" t="s">
        <v>41</v>
      </c>
      <c r="D17" t="s">
        <v>17</v>
      </c>
      <c r="E17" t="s">
        <v>18</v>
      </c>
      <c r="F17">
        <v>74</v>
      </c>
      <c r="G17">
        <v>56018.43</v>
      </c>
      <c r="H17">
        <v>7</v>
      </c>
      <c r="I17">
        <v>77</v>
      </c>
      <c r="J17" t="s">
        <v>240</v>
      </c>
    </row>
    <row r="18" spans="1:10" x14ac:dyDescent="0.25">
      <c r="A18" t="s">
        <v>40</v>
      </c>
      <c r="B18" t="s">
        <v>10</v>
      </c>
      <c r="C18" t="s">
        <v>41</v>
      </c>
      <c r="D18" t="s">
        <v>26</v>
      </c>
      <c r="E18" t="s">
        <v>18</v>
      </c>
      <c r="F18">
        <v>39</v>
      </c>
      <c r="G18">
        <v>59335.72</v>
      </c>
      <c r="H18">
        <v>28</v>
      </c>
      <c r="I18">
        <v>80</v>
      </c>
      <c r="J18" t="s">
        <v>240</v>
      </c>
    </row>
    <row r="19" spans="1:10" x14ac:dyDescent="0.25">
      <c r="A19" t="s">
        <v>186</v>
      </c>
      <c r="B19" t="s">
        <v>36</v>
      </c>
      <c r="C19" t="s">
        <v>41</v>
      </c>
      <c r="D19" t="s">
        <v>26</v>
      </c>
      <c r="E19" t="s">
        <v>29</v>
      </c>
      <c r="F19">
        <v>56</v>
      </c>
      <c r="G19">
        <v>139281.34</v>
      </c>
      <c r="H19">
        <v>24</v>
      </c>
      <c r="I19">
        <v>96</v>
      </c>
      <c r="J19" t="s">
        <v>239</v>
      </c>
    </row>
    <row r="20" spans="1:10" x14ac:dyDescent="0.25">
      <c r="A20" t="s">
        <v>43</v>
      </c>
      <c r="B20" t="s">
        <v>22</v>
      </c>
      <c r="C20" t="s">
        <v>41</v>
      </c>
      <c r="D20" t="s">
        <v>12</v>
      </c>
      <c r="E20" t="s">
        <v>18</v>
      </c>
      <c r="F20">
        <v>52</v>
      </c>
      <c r="G20">
        <v>107481.12</v>
      </c>
      <c r="H20">
        <v>8</v>
      </c>
      <c r="I20">
        <v>93</v>
      </c>
      <c r="J20" t="s">
        <v>239</v>
      </c>
    </row>
    <row r="21" spans="1:10" x14ac:dyDescent="0.25">
      <c r="A21" t="s">
        <v>182</v>
      </c>
      <c r="B21" t="s">
        <v>10</v>
      </c>
      <c r="C21" t="s">
        <v>41</v>
      </c>
      <c r="D21" t="s">
        <v>32</v>
      </c>
      <c r="E21" t="s">
        <v>13</v>
      </c>
      <c r="F21">
        <v>2</v>
      </c>
      <c r="G21">
        <v>14606.74</v>
      </c>
      <c r="H21">
        <v>30</v>
      </c>
      <c r="I21">
        <v>75</v>
      </c>
      <c r="J21" t="s">
        <v>240</v>
      </c>
    </row>
    <row r="22" spans="1:10" x14ac:dyDescent="0.25">
      <c r="A22" t="s">
        <v>45</v>
      </c>
      <c r="B22" t="s">
        <v>15</v>
      </c>
      <c r="C22" t="s">
        <v>41</v>
      </c>
      <c r="D22" t="s">
        <v>23</v>
      </c>
      <c r="E22" t="s">
        <v>18</v>
      </c>
      <c r="F22">
        <v>1</v>
      </c>
      <c r="G22">
        <v>43174.44</v>
      </c>
      <c r="H22">
        <v>24</v>
      </c>
      <c r="I22">
        <v>100</v>
      </c>
      <c r="J22" t="s">
        <v>240</v>
      </c>
    </row>
    <row r="23" spans="1:10" x14ac:dyDescent="0.25">
      <c r="A23" t="s">
        <v>181</v>
      </c>
      <c r="B23" t="s">
        <v>22</v>
      </c>
      <c r="C23" t="s">
        <v>41</v>
      </c>
      <c r="D23" t="s">
        <v>26</v>
      </c>
      <c r="E23" t="s">
        <v>18</v>
      </c>
      <c r="F23">
        <v>38</v>
      </c>
      <c r="G23">
        <v>121567.96</v>
      </c>
      <c r="H23">
        <v>26</v>
      </c>
      <c r="I23">
        <v>65</v>
      </c>
      <c r="J23" t="s">
        <v>239</v>
      </c>
    </row>
    <row r="24" spans="1:10" x14ac:dyDescent="0.25">
      <c r="A24" t="s">
        <v>169</v>
      </c>
      <c r="B24" t="s">
        <v>15</v>
      </c>
      <c r="C24" t="s">
        <v>41</v>
      </c>
      <c r="D24" t="s">
        <v>32</v>
      </c>
      <c r="E24" t="s">
        <v>13</v>
      </c>
      <c r="F24">
        <v>57</v>
      </c>
      <c r="G24">
        <v>121600.57</v>
      </c>
      <c r="H24">
        <v>19</v>
      </c>
      <c r="I24">
        <v>94</v>
      </c>
      <c r="J24" t="s">
        <v>239</v>
      </c>
    </row>
    <row r="25" spans="1:10" x14ac:dyDescent="0.25">
      <c r="A25" t="s">
        <v>164</v>
      </c>
      <c r="B25" t="s">
        <v>22</v>
      </c>
      <c r="C25" t="s">
        <v>41</v>
      </c>
      <c r="D25" t="s">
        <v>12</v>
      </c>
      <c r="E25" t="s">
        <v>13</v>
      </c>
      <c r="F25">
        <v>65</v>
      </c>
      <c r="G25">
        <v>120956.04</v>
      </c>
      <c r="H25">
        <v>25</v>
      </c>
      <c r="I25">
        <v>95</v>
      </c>
      <c r="J25" t="s">
        <v>239</v>
      </c>
    </row>
    <row r="26" spans="1:10" x14ac:dyDescent="0.25">
      <c r="A26" t="s">
        <v>160</v>
      </c>
      <c r="B26" t="s">
        <v>36</v>
      </c>
      <c r="C26" t="s">
        <v>41</v>
      </c>
      <c r="D26" t="s">
        <v>32</v>
      </c>
      <c r="E26" t="s">
        <v>18</v>
      </c>
      <c r="F26">
        <v>7</v>
      </c>
      <c r="G26">
        <v>59235.13</v>
      </c>
      <c r="H26">
        <v>12</v>
      </c>
      <c r="I26">
        <v>42</v>
      </c>
      <c r="J26" t="s">
        <v>240</v>
      </c>
    </row>
    <row r="27" spans="1:10" x14ac:dyDescent="0.25">
      <c r="A27" t="s">
        <v>155</v>
      </c>
      <c r="B27" t="s">
        <v>15</v>
      </c>
      <c r="C27" t="s">
        <v>41</v>
      </c>
      <c r="D27" t="s">
        <v>32</v>
      </c>
      <c r="E27" t="s">
        <v>13</v>
      </c>
      <c r="F27">
        <v>73</v>
      </c>
      <c r="G27">
        <v>148956.56</v>
      </c>
      <c r="H27">
        <v>6</v>
      </c>
      <c r="I27">
        <v>100</v>
      </c>
      <c r="J27" t="s">
        <v>239</v>
      </c>
    </row>
    <row r="28" spans="1:10" x14ac:dyDescent="0.25">
      <c r="A28" t="s">
        <v>154</v>
      </c>
      <c r="B28" t="s">
        <v>22</v>
      </c>
      <c r="C28" t="s">
        <v>41</v>
      </c>
      <c r="D28" t="s">
        <v>17</v>
      </c>
      <c r="E28" t="s">
        <v>18</v>
      </c>
      <c r="F28">
        <v>7</v>
      </c>
      <c r="G28">
        <v>135590.48000000001</v>
      </c>
      <c r="H28">
        <v>6</v>
      </c>
      <c r="I28">
        <v>46</v>
      </c>
      <c r="J28" t="s">
        <v>239</v>
      </c>
    </row>
    <row r="29" spans="1:10" x14ac:dyDescent="0.25">
      <c r="A29" t="s">
        <v>153</v>
      </c>
      <c r="B29" t="s">
        <v>15</v>
      </c>
      <c r="C29" t="s">
        <v>41</v>
      </c>
      <c r="D29" t="s">
        <v>23</v>
      </c>
      <c r="E29" t="s">
        <v>18</v>
      </c>
      <c r="F29">
        <v>88</v>
      </c>
      <c r="G29">
        <v>50993.47</v>
      </c>
      <c r="H29">
        <v>4</v>
      </c>
      <c r="I29">
        <v>82</v>
      </c>
      <c r="J29" t="s">
        <v>240</v>
      </c>
    </row>
    <row r="30" spans="1:10" x14ac:dyDescent="0.25">
      <c r="A30" t="s">
        <v>53</v>
      </c>
      <c r="B30" t="s">
        <v>22</v>
      </c>
      <c r="C30" t="s">
        <v>41</v>
      </c>
      <c r="D30" t="s">
        <v>23</v>
      </c>
      <c r="E30" t="s">
        <v>29</v>
      </c>
      <c r="F30">
        <v>34</v>
      </c>
      <c r="G30">
        <v>136077.99</v>
      </c>
      <c r="H30">
        <v>25</v>
      </c>
      <c r="I30">
        <v>58</v>
      </c>
      <c r="J30" t="s">
        <v>239</v>
      </c>
    </row>
    <row r="31" spans="1:10" x14ac:dyDescent="0.25">
      <c r="A31" t="s">
        <v>151</v>
      </c>
      <c r="B31" t="s">
        <v>31</v>
      </c>
      <c r="C31" t="s">
        <v>41</v>
      </c>
      <c r="D31" t="s">
        <v>17</v>
      </c>
      <c r="E31" t="s">
        <v>13</v>
      </c>
      <c r="F31">
        <v>78</v>
      </c>
      <c r="G31">
        <v>40568.300000000003</v>
      </c>
      <c r="H31">
        <v>18</v>
      </c>
      <c r="I31">
        <v>91</v>
      </c>
      <c r="J31" t="s">
        <v>240</v>
      </c>
    </row>
    <row r="32" spans="1:10" x14ac:dyDescent="0.25">
      <c r="A32" t="s">
        <v>55</v>
      </c>
      <c r="B32" t="s">
        <v>10</v>
      </c>
      <c r="C32" t="s">
        <v>41</v>
      </c>
      <c r="D32" t="s">
        <v>26</v>
      </c>
      <c r="E32" t="s">
        <v>18</v>
      </c>
      <c r="F32">
        <v>25</v>
      </c>
      <c r="G32">
        <v>38676.85</v>
      </c>
      <c r="H32">
        <v>9</v>
      </c>
      <c r="I32">
        <v>70</v>
      </c>
      <c r="J32" t="s">
        <v>240</v>
      </c>
    </row>
    <row r="33" spans="1:10" x14ac:dyDescent="0.25">
      <c r="A33" t="s">
        <v>56</v>
      </c>
      <c r="B33" t="s">
        <v>10</v>
      </c>
      <c r="C33" t="s">
        <v>41</v>
      </c>
      <c r="D33" t="s">
        <v>32</v>
      </c>
      <c r="E33" t="s">
        <v>29</v>
      </c>
      <c r="F33">
        <v>86</v>
      </c>
      <c r="G33">
        <v>35788.22</v>
      </c>
      <c r="H33">
        <v>3</v>
      </c>
      <c r="I33">
        <v>66</v>
      </c>
      <c r="J33" t="s">
        <v>240</v>
      </c>
    </row>
    <row r="34" spans="1:10" x14ac:dyDescent="0.25">
      <c r="A34" t="s">
        <v>148</v>
      </c>
      <c r="B34" t="s">
        <v>10</v>
      </c>
      <c r="C34" t="s">
        <v>41</v>
      </c>
      <c r="D34" t="s">
        <v>32</v>
      </c>
      <c r="E34" t="s">
        <v>29</v>
      </c>
      <c r="F34">
        <v>1</v>
      </c>
      <c r="G34">
        <v>105954.09</v>
      </c>
      <c r="H34">
        <v>12</v>
      </c>
      <c r="I34">
        <v>95</v>
      </c>
      <c r="J34" t="s">
        <v>239</v>
      </c>
    </row>
    <row r="35" spans="1:10" x14ac:dyDescent="0.25">
      <c r="A35" t="s">
        <v>58</v>
      </c>
      <c r="B35" t="s">
        <v>22</v>
      </c>
      <c r="C35" t="s">
        <v>41</v>
      </c>
      <c r="D35" t="s">
        <v>26</v>
      </c>
      <c r="E35" t="s">
        <v>18</v>
      </c>
      <c r="F35">
        <v>51</v>
      </c>
      <c r="G35">
        <v>143365.82999999999</v>
      </c>
      <c r="H35">
        <v>1</v>
      </c>
      <c r="I35">
        <v>58</v>
      </c>
      <c r="J35" t="s">
        <v>239</v>
      </c>
    </row>
    <row r="36" spans="1:10" x14ac:dyDescent="0.25">
      <c r="A36" t="s">
        <v>145</v>
      </c>
      <c r="B36" t="s">
        <v>36</v>
      </c>
      <c r="C36" t="s">
        <v>41</v>
      </c>
      <c r="D36" t="s">
        <v>23</v>
      </c>
      <c r="E36" t="s">
        <v>13</v>
      </c>
      <c r="F36">
        <v>81</v>
      </c>
      <c r="G36">
        <v>135711.26999999999</v>
      </c>
      <c r="H36">
        <v>14</v>
      </c>
      <c r="I36">
        <v>99</v>
      </c>
      <c r="J36" t="s">
        <v>239</v>
      </c>
    </row>
    <row r="37" spans="1:10" x14ac:dyDescent="0.25">
      <c r="A37" t="s">
        <v>144</v>
      </c>
      <c r="B37" t="s">
        <v>10</v>
      </c>
      <c r="C37" t="s">
        <v>41</v>
      </c>
      <c r="D37" t="s">
        <v>32</v>
      </c>
      <c r="E37" t="s">
        <v>13</v>
      </c>
      <c r="F37">
        <v>30</v>
      </c>
      <c r="G37">
        <v>97613.71</v>
      </c>
      <c r="H37">
        <v>24</v>
      </c>
      <c r="I37">
        <v>72</v>
      </c>
      <c r="J37" t="s">
        <v>239</v>
      </c>
    </row>
    <row r="38" spans="1:10" x14ac:dyDescent="0.25">
      <c r="A38" t="s">
        <v>141</v>
      </c>
      <c r="B38" t="s">
        <v>22</v>
      </c>
      <c r="C38" t="s">
        <v>41</v>
      </c>
      <c r="D38" t="s">
        <v>23</v>
      </c>
      <c r="E38" t="s">
        <v>29</v>
      </c>
      <c r="F38">
        <v>81</v>
      </c>
      <c r="G38">
        <v>22593.06</v>
      </c>
      <c r="H38">
        <v>6</v>
      </c>
      <c r="I38">
        <v>67</v>
      </c>
      <c r="J38" t="s">
        <v>240</v>
      </c>
    </row>
    <row r="39" spans="1:10" x14ac:dyDescent="0.25">
      <c r="A39" t="s">
        <v>137</v>
      </c>
      <c r="B39" t="s">
        <v>10</v>
      </c>
      <c r="C39" t="s">
        <v>41</v>
      </c>
      <c r="D39" t="s">
        <v>32</v>
      </c>
      <c r="E39" t="s">
        <v>13</v>
      </c>
      <c r="F39">
        <v>24</v>
      </c>
      <c r="G39">
        <v>139624.06</v>
      </c>
      <c r="H39">
        <v>5</v>
      </c>
      <c r="I39">
        <v>55</v>
      </c>
      <c r="J39" t="s">
        <v>239</v>
      </c>
    </row>
    <row r="40" spans="1:10" x14ac:dyDescent="0.25">
      <c r="A40" t="s">
        <v>129</v>
      </c>
      <c r="B40" t="s">
        <v>36</v>
      </c>
      <c r="C40" t="s">
        <v>41</v>
      </c>
      <c r="D40" t="s">
        <v>12</v>
      </c>
      <c r="E40" t="s">
        <v>13</v>
      </c>
      <c r="F40">
        <v>6</v>
      </c>
      <c r="G40">
        <v>77311.77</v>
      </c>
      <c r="H40">
        <v>19</v>
      </c>
      <c r="I40">
        <v>90</v>
      </c>
      <c r="J40" t="s">
        <v>239</v>
      </c>
    </row>
    <row r="41" spans="1:10" x14ac:dyDescent="0.25">
      <c r="A41" t="s">
        <v>120</v>
      </c>
      <c r="B41" t="s">
        <v>31</v>
      </c>
      <c r="C41" t="s">
        <v>41</v>
      </c>
      <c r="D41" t="s">
        <v>32</v>
      </c>
      <c r="E41" t="s">
        <v>29</v>
      </c>
      <c r="F41">
        <v>89</v>
      </c>
      <c r="G41">
        <v>128840.81</v>
      </c>
      <c r="H41">
        <v>22</v>
      </c>
      <c r="I41">
        <v>81</v>
      </c>
      <c r="J41" t="s">
        <v>239</v>
      </c>
    </row>
    <row r="42" spans="1:10" x14ac:dyDescent="0.25">
      <c r="A42" t="s">
        <v>116</v>
      </c>
      <c r="B42" t="s">
        <v>25</v>
      </c>
      <c r="C42" t="s">
        <v>41</v>
      </c>
      <c r="D42" t="s">
        <v>12</v>
      </c>
      <c r="E42" t="s">
        <v>29</v>
      </c>
      <c r="F42">
        <v>46</v>
      </c>
      <c r="G42">
        <v>128560.01</v>
      </c>
      <c r="H42">
        <v>7</v>
      </c>
      <c r="I42">
        <v>52</v>
      </c>
      <c r="J42" t="s">
        <v>239</v>
      </c>
    </row>
    <row r="43" spans="1:10" x14ac:dyDescent="0.25">
      <c r="A43" t="s">
        <v>66</v>
      </c>
      <c r="B43" t="s">
        <v>15</v>
      </c>
      <c r="C43" t="s">
        <v>41</v>
      </c>
      <c r="D43" t="s">
        <v>23</v>
      </c>
      <c r="E43" t="s">
        <v>18</v>
      </c>
      <c r="F43">
        <v>14</v>
      </c>
      <c r="G43">
        <v>9067.3799999999992</v>
      </c>
      <c r="H43">
        <v>28</v>
      </c>
      <c r="I43">
        <v>86</v>
      </c>
      <c r="J43" t="s">
        <v>240</v>
      </c>
    </row>
    <row r="44" spans="1:10" x14ac:dyDescent="0.25">
      <c r="A44" t="s">
        <v>114</v>
      </c>
      <c r="B44" t="s">
        <v>15</v>
      </c>
      <c r="C44" t="s">
        <v>41</v>
      </c>
      <c r="D44" t="s">
        <v>12</v>
      </c>
      <c r="E44" t="s">
        <v>18</v>
      </c>
      <c r="F44">
        <v>37</v>
      </c>
      <c r="G44">
        <v>8578.83</v>
      </c>
      <c r="H44">
        <v>2</v>
      </c>
      <c r="I44">
        <v>90</v>
      </c>
      <c r="J44" t="s">
        <v>240</v>
      </c>
    </row>
    <row r="45" spans="1:10" x14ac:dyDescent="0.25">
      <c r="A45" t="s">
        <v>105</v>
      </c>
      <c r="B45" t="s">
        <v>36</v>
      </c>
      <c r="C45" t="s">
        <v>41</v>
      </c>
      <c r="D45" t="s">
        <v>12</v>
      </c>
      <c r="E45" t="s">
        <v>29</v>
      </c>
      <c r="F45">
        <v>49</v>
      </c>
      <c r="G45">
        <v>117019.47</v>
      </c>
      <c r="H45">
        <v>28</v>
      </c>
      <c r="I45">
        <v>63</v>
      </c>
      <c r="J45" t="s">
        <v>239</v>
      </c>
    </row>
    <row r="46" spans="1:10" x14ac:dyDescent="0.25">
      <c r="A46" t="s">
        <v>103</v>
      </c>
      <c r="B46" t="s">
        <v>22</v>
      </c>
      <c r="C46" t="s">
        <v>41</v>
      </c>
      <c r="D46" t="s">
        <v>32</v>
      </c>
      <c r="E46" t="s">
        <v>29</v>
      </c>
      <c r="F46">
        <v>17</v>
      </c>
      <c r="G46">
        <v>142458.98000000001</v>
      </c>
      <c r="H46">
        <v>6</v>
      </c>
      <c r="I46">
        <v>69</v>
      </c>
      <c r="J46" t="s">
        <v>239</v>
      </c>
    </row>
    <row r="47" spans="1:10" x14ac:dyDescent="0.25">
      <c r="A47" t="s">
        <v>100</v>
      </c>
      <c r="B47" t="s">
        <v>31</v>
      </c>
      <c r="C47" t="s">
        <v>41</v>
      </c>
      <c r="D47" t="s">
        <v>12</v>
      </c>
      <c r="E47" t="s">
        <v>29</v>
      </c>
      <c r="F47">
        <v>56</v>
      </c>
      <c r="G47">
        <v>120488.57</v>
      </c>
      <c r="H47">
        <v>30</v>
      </c>
      <c r="I47">
        <v>48</v>
      </c>
      <c r="J47" t="s">
        <v>239</v>
      </c>
    </row>
    <row r="48" spans="1:10" x14ac:dyDescent="0.25">
      <c r="A48" t="s">
        <v>98</v>
      </c>
      <c r="B48" t="s">
        <v>36</v>
      </c>
      <c r="C48" t="s">
        <v>41</v>
      </c>
      <c r="D48" t="s">
        <v>17</v>
      </c>
      <c r="E48" t="s">
        <v>18</v>
      </c>
      <c r="F48">
        <v>6</v>
      </c>
      <c r="G48">
        <v>22175.37</v>
      </c>
      <c r="H48">
        <v>17</v>
      </c>
      <c r="I48">
        <v>82</v>
      </c>
      <c r="J48" t="s">
        <v>240</v>
      </c>
    </row>
    <row r="49" spans="1:10" x14ac:dyDescent="0.25">
      <c r="A49" t="s">
        <v>89</v>
      </c>
      <c r="B49" t="s">
        <v>25</v>
      </c>
      <c r="C49" t="s">
        <v>41</v>
      </c>
      <c r="D49" t="s">
        <v>12</v>
      </c>
      <c r="E49" t="s">
        <v>29</v>
      </c>
      <c r="F49">
        <v>73</v>
      </c>
      <c r="G49">
        <v>148488.95000000001</v>
      </c>
      <c r="H49">
        <v>22</v>
      </c>
      <c r="I49">
        <v>77</v>
      </c>
      <c r="J49" t="s">
        <v>239</v>
      </c>
    </row>
    <row r="50" spans="1:10" x14ac:dyDescent="0.25">
      <c r="A50" t="s">
        <v>86</v>
      </c>
      <c r="B50" t="s">
        <v>10</v>
      </c>
      <c r="C50" t="s">
        <v>41</v>
      </c>
      <c r="D50" t="s">
        <v>12</v>
      </c>
      <c r="E50" t="s">
        <v>18</v>
      </c>
      <c r="F50">
        <v>7</v>
      </c>
      <c r="G50">
        <v>66277.52</v>
      </c>
      <c r="H50">
        <v>26</v>
      </c>
      <c r="I50">
        <v>69</v>
      </c>
      <c r="J50" t="s">
        <v>240</v>
      </c>
    </row>
    <row r="51" spans="1:10" x14ac:dyDescent="0.25">
      <c r="A51" t="s">
        <v>75</v>
      </c>
      <c r="B51" t="s">
        <v>15</v>
      </c>
      <c r="C51" t="s">
        <v>41</v>
      </c>
      <c r="D51" t="s">
        <v>12</v>
      </c>
      <c r="E51" t="s">
        <v>18</v>
      </c>
      <c r="F51">
        <v>66</v>
      </c>
      <c r="G51">
        <v>84096.91</v>
      </c>
      <c r="H51">
        <v>18</v>
      </c>
      <c r="I51">
        <v>91</v>
      </c>
      <c r="J51" t="s">
        <v>239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DE625-8D2E-4A4A-B3F7-294104EFF6D4}">
  <dimension ref="A1:J203"/>
  <sheetViews>
    <sheetView workbookViewId="0">
      <selection activeCell="A3" sqref="A3:J203"/>
    </sheetView>
  </sheetViews>
  <sheetFormatPr defaultRowHeight="15" x14ac:dyDescent="0.25"/>
  <cols>
    <col min="1" max="1" width="12.140625" bestFit="1" customWidth="1"/>
    <col min="2" max="2" width="16.140625" bestFit="1" customWidth="1"/>
    <col min="3" max="3" width="17.42578125" bestFit="1" customWidth="1"/>
    <col min="4" max="4" width="15.140625" bestFit="1" customWidth="1"/>
    <col min="5" max="5" width="10" bestFit="1" customWidth="1"/>
    <col min="6" max="6" width="9.28515625" bestFit="1" customWidth="1"/>
    <col min="7" max="7" width="17.42578125" bestFit="1" customWidth="1"/>
    <col min="8" max="8" width="21.7109375" bestFit="1" customWidth="1"/>
    <col min="9" max="9" width="17.42578125" bestFit="1" customWidth="1"/>
    <col min="10" max="10" width="11.42578125" bestFit="1" customWidth="1"/>
  </cols>
  <sheetData>
    <row r="1" spans="1:10" x14ac:dyDescent="0.25">
      <c r="A1" s="4" t="s">
        <v>251</v>
      </c>
    </row>
    <row r="3" spans="1:10" x14ac:dyDescent="0.25">
      <c r="A3" t="s">
        <v>0</v>
      </c>
      <c r="B3" t="s">
        <v>1</v>
      </c>
      <c r="C3" t="s">
        <v>2</v>
      </c>
      <c r="D3" t="s">
        <v>3</v>
      </c>
      <c r="E3" t="s">
        <v>4</v>
      </c>
      <c r="F3" t="s">
        <v>5</v>
      </c>
      <c r="G3" t="s">
        <v>6</v>
      </c>
      <c r="H3" t="s">
        <v>7</v>
      </c>
      <c r="I3" t="s">
        <v>8</v>
      </c>
      <c r="J3" t="s">
        <v>238</v>
      </c>
    </row>
    <row r="4" spans="1:10" x14ac:dyDescent="0.25">
      <c r="A4" t="s">
        <v>20</v>
      </c>
      <c r="B4" t="s">
        <v>15</v>
      </c>
      <c r="C4" t="s">
        <v>11</v>
      </c>
      <c r="D4" t="s">
        <v>12</v>
      </c>
      <c r="E4" t="s">
        <v>13</v>
      </c>
      <c r="F4">
        <v>23</v>
      </c>
      <c r="G4">
        <v>103508.96</v>
      </c>
      <c r="H4">
        <v>20</v>
      </c>
      <c r="I4">
        <v>50</v>
      </c>
      <c r="J4" t="s">
        <v>239</v>
      </c>
    </row>
    <row r="5" spans="1:10" x14ac:dyDescent="0.25">
      <c r="A5" t="s">
        <v>21</v>
      </c>
      <c r="B5" t="s">
        <v>22</v>
      </c>
      <c r="C5" t="s">
        <v>16</v>
      </c>
      <c r="D5" t="s">
        <v>23</v>
      </c>
      <c r="E5" t="s">
        <v>13</v>
      </c>
      <c r="F5">
        <v>7</v>
      </c>
      <c r="G5">
        <v>143427.51999999999</v>
      </c>
      <c r="H5">
        <v>6</v>
      </c>
      <c r="I5">
        <v>43</v>
      </c>
      <c r="J5" t="s">
        <v>239</v>
      </c>
    </row>
    <row r="6" spans="1:10" x14ac:dyDescent="0.25">
      <c r="A6" t="s">
        <v>24</v>
      </c>
      <c r="B6" t="s">
        <v>25</v>
      </c>
      <c r="C6" t="s">
        <v>16</v>
      </c>
      <c r="D6" t="s">
        <v>26</v>
      </c>
      <c r="E6" t="s">
        <v>13</v>
      </c>
      <c r="F6">
        <v>78</v>
      </c>
      <c r="G6">
        <v>146252.19</v>
      </c>
      <c r="H6">
        <v>9</v>
      </c>
      <c r="I6">
        <v>41</v>
      </c>
      <c r="J6" t="s">
        <v>239</v>
      </c>
    </row>
    <row r="7" spans="1:10" x14ac:dyDescent="0.25">
      <c r="A7" t="s">
        <v>33</v>
      </c>
      <c r="B7" t="s">
        <v>10</v>
      </c>
      <c r="C7" t="s">
        <v>28</v>
      </c>
      <c r="D7" t="s">
        <v>12</v>
      </c>
      <c r="E7" t="s">
        <v>29</v>
      </c>
      <c r="F7">
        <v>41</v>
      </c>
      <c r="G7">
        <v>79517.25</v>
      </c>
      <c r="H7">
        <v>9</v>
      </c>
      <c r="I7">
        <v>62</v>
      </c>
      <c r="J7" t="s">
        <v>239</v>
      </c>
    </row>
    <row r="8" spans="1:10" x14ac:dyDescent="0.25">
      <c r="A8" t="s">
        <v>34</v>
      </c>
      <c r="B8" t="s">
        <v>15</v>
      </c>
      <c r="C8" t="s">
        <v>16</v>
      </c>
      <c r="D8" t="s">
        <v>23</v>
      </c>
      <c r="E8" t="s">
        <v>29</v>
      </c>
      <c r="F8">
        <v>56</v>
      </c>
      <c r="G8">
        <v>116558.38</v>
      </c>
      <c r="H8">
        <v>24</v>
      </c>
      <c r="I8">
        <v>48</v>
      </c>
      <c r="J8" t="s">
        <v>239</v>
      </c>
    </row>
    <row r="9" spans="1:10" x14ac:dyDescent="0.25">
      <c r="A9" t="s">
        <v>35</v>
      </c>
      <c r="B9" t="s">
        <v>36</v>
      </c>
      <c r="C9" t="s">
        <v>16</v>
      </c>
      <c r="D9" t="s">
        <v>23</v>
      </c>
      <c r="E9" t="s">
        <v>13</v>
      </c>
      <c r="F9">
        <v>24</v>
      </c>
      <c r="G9">
        <v>135883.74</v>
      </c>
      <c r="H9">
        <v>15</v>
      </c>
      <c r="I9">
        <v>54</v>
      </c>
      <c r="J9" t="s">
        <v>239</v>
      </c>
    </row>
    <row r="10" spans="1:10" x14ac:dyDescent="0.25">
      <c r="A10" t="s">
        <v>37</v>
      </c>
      <c r="B10" t="s">
        <v>15</v>
      </c>
      <c r="C10" t="s">
        <v>28</v>
      </c>
      <c r="D10" t="s">
        <v>17</v>
      </c>
      <c r="E10" t="s">
        <v>13</v>
      </c>
      <c r="F10">
        <v>62</v>
      </c>
      <c r="G10">
        <v>148179.98000000001</v>
      </c>
      <c r="H10">
        <v>11</v>
      </c>
      <c r="I10">
        <v>87</v>
      </c>
      <c r="J10" t="s">
        <v>239</v>
      </c>
    </row>
    <row r="11" spans="1:10" x14ac:dyDescent="0.25">
      <c r="A11" t="s">
        <v>42</v>
      </c>
      <c r="B11" t="s">
        <v>22</v>
      </c>
      <c r="C11" t="s">
        <v>16</v>
      </c>
      <c r="D11" t="s">
        <v>12</v>
      </c>
      <c r="E11" t="s">
        <v>18</v>
      </c>
      <c r="F11">
        <v>85</v>
      </c>
      <c r="G11">
        <v>101936.34</v>
      </c>
      <c r="H11">
        <v>27</v>
      </c>
      <c r="I11">
        <v>99</v>
      </c>
      <c r="J11" t="s">
        <v>239</v>
      </c>
    </row>
    <row r="12" spans="1:10" x14ac:dyDescent="0.25">
      <c r="A12" t="s">
        <v>43</v>
      </c>
      <c r="B12" t="s">
        <v>22</v>
      </c>
      <c r="C12" t="s">
        <v>41</v>
      </c>
      <c r="D12" t="s">
        <v>12</v>
      </c>
      <c r="E12" t="s">
        <v>18</v>
      </c>
      <c r="F12">
        <v>52</v>
      </c>
      <c r="G12">
        <v>107481.12</v>
      </c>
      <c r="H12">
        <v>8</v>
      </c>
      <c r="I12">
        <v>93</v>
      </c>
      <c r="J12" t="s">
        <v>239</v>
      </c>
    </row>
    <row r="13" spans="1:10" x14ac:dyDescent="0.25">
      <c r="A13" t="s">
        <v>44</v>
      </c>
      <c r="B13" t="s">
        <v>36</v>
      </c>
      <c r="C13" t="s">
        <v>11</v>
      </c>
      <c r="D13" t="s">
        <v>23</v>
      </c>
      <c r="E13" t="s">
        <v>18</v>
      </c>
      <c r="F13">
        <v>25</v>
      </c>
      <c r="G13">
        <v>142574.53</v>
      </c>
      <c r="H13">
        <v>30</v>
      </c>
      <c r="I13">
        <v>99</v>
      </c>
      <c r="J13" t="s">
        <v>239</v>
      </c>
    </row>
    <row r="14" spans="1:10" x14ac:dyDescent="0.25">
      <c r="A14" t="s">
        <v>46</v>
      </c>
      <c r="B14" t="s">
        <v>31</v>
      </c>
      <c r="C14" t="s">
        <v>16</v>
      </c>
      <c r="D14" t="s">
        <v>12</v>
      </c>
      <c r="E14" t="s">
        <v>13</v>
      </c>
      <c r="F14">
        <v>3</v>
      </c>
      <c r="G14">
        <v>125171.58</v>
      </c>
      <c r="H14">
        <v>30</v>
      </c>
      <c r="I14">
        <v>89</v>
      </c>
      <c r="J14" t="s">
        <v>239</v>
      </c>
    </row>
    <row r="15" spans="1:10" x14ac:dyDescent="0.25">
      <c r="A15" t="s">
        <v>50</v>
      </c>
      <c r="B15" t="s">
        <v>36</v>
      </c>
      <c r="C15" t="s">
        <v>11</v>
      </c>
      <c r="D15" t="s">
        <v>32</v>
      </c>
      <c r="E15" t="s">
        <v>29</v>
      </c>
      <c r="F15">
        <v>75</v>
      </c>
      <c r="G15">
        <v>89887.05</v>
      </c>
      <c r="H15">
        <v>28</v>
      </c>
      <c r="I15">
        <v>92</v>
      </c>
      <c r="J15" t="s">
        <v>239</v>
      </c>
    </row>
    <row r="16" spans="1:10" x14ac:dyDescent="0.25">
      <c r="A16" t="s">
        <v>53</v>
      </c>
      <c r="B16" t="s">
        <v>22</v>
      </c>
      <c r="C16" t="s">
        <v>41</v>
      </c>
      <c r="D16" t="s">
        <v>23</v>
      </c>
      <c r="E16" t="s">
        <v>29</v>
      </c>
      <c r="F16">
        <v>34</v>
      </c>
      <c r="G16">
        <v>136077.99</v>
      </c>
      <c r="H16">
        <v>25</v>
      </c>
      <c r="I16">
        <v>58</v>
      </c>
      <c r="J16" t="s">
        <v>239</v>
      </c>
    </row>
    <row r="17" spans="1:10" x14ac:dyDescent="0.25">
      <c r="A17" t="s">
        <v>54</v>
      </c>
      <c r="B17" t="s">
        <v>25</v>
      </c>
      <c r="C17" t="s">
        <v>11</v>
      </c>
      <c r="D17" t="s">
        <v>23</v>
      </c>
      <c r="E17" t="s">
        <v>18</v>
      </c>
      <c r="F17">
        <v>31</v>
      </c>
      <c r="G17">
        <v>103276.56</v>
      </c>
      <c r="H17">
        <v>30</v>
      </c>
      <c r="I17">
        <v>84</v>
      </c>
      <c r="J17" t="s">
        <v>239</v>
      </c>
    </row>
    <row r="18" spans="1:10" x14ac:dyDescent="0.25">
      <c r="A18" t="s">
        <v>57</v>
      </c>
      <c r="B18" t="s">
        <v>36</v>
      </c>
      <c r="C18" t="s">
        <v>16</v>
      </c>
      <c r="D18" t="s">
        <v>12</v>
      </c>
      <c r="E18" t="s">
        <v>18</v>
      </c>
      <c r="F18">
        <v>79</v>
      </c>
      <c r="G18">
        <v>140415.63</v>
      </c>
      <c r="H18">
        <v>16</v>
      </c>
      <c r="I18">
        <v>67</v>
      </c>
      <c r="J18" t="s">
        <v>239</v>
      </c>
    </row>
    <row r="19" spans="1:10" x14ac:dyDescent="0.25">
      <c r="A19" t="s">
        <v>58</v>
      </c>
      <c r="B19" t="s">
        <v>22</v>
      </c>
      <c r="C19" t="s">
        <v>41</v>
      </c>
      <c r="D19" t="s">
        <v>26</v>
      </c>
      <c r="E19" t="s">
        <v>18</v>
      </c>
      <c r="F19">
        <v>51</v>
      </c>
      <c r="G19">
        <v>143365.82999999999</v>
      </c>
      <c r="H19">
        <v>1</v>
      </c>
      <c r="I19">
        <v>58</v>
      </c>
      <c r="J19" t="s">
        <v>239</v>
      </c>
    </row>
    <row r="20" spans="1:10" x14ac:dyDescent="0.25">
      <c r="A20" t="s">
        <v>59</v>
      </c>
      <c r="B20" t="s">
        <v>10</v>
      </c>
      <c r="C20" t="s">
        <v>16</v>
      </c>
      <c r="D20" t="s">
        <v>17</v>
      </c>
      <c r="E20" t="s">
        <v>18</v>
      </c>
      <c r="F20">
        <v>1</v>
      </c>
      <c r="G20">
        <v>101058.07</v>
      </c>
      <c r="H20">
        <v>4</v>
      </c>
      <c r="I20">
        <v>81</v>
      </c>
      <c r="J20" t="s">
        <v>239</v>
      </c>
    </row>
    <row r="21" spans="1:10" x14ac:dyDescent="0.25">
      <c r="A21" t="s">
        <v>61</v>
      </c>
      <c r="B21" t="s">
        <v>22</v>
      </c>
      <c r="C21" t="s">
        <v>28</v>
      </c>
      <c r="D21" t="s">
        <v>17</v>
      </c>
      <c r="E21" t="s">
        <v>13</v>
      </c>
      <c r="F21">
        <v>15</v>
      </c>
      <c r="G21">
        <v>131454.59</v>
      </c>
      <c r="H21">
        <v>30</v>
      </c>
      <c r="I21">
        <v>83</v>
      </c>
      <c r="J21" t="s">
        <v>239</v>
      </c>
    </row>
    <row r="22" spans="1:10" x14ac:dyDescent="0.25">
      <c r="A22" t="s">
        <v>63</v>
      </c>
      <c r="B22" t="s">
        <v>15</v>
      </c>
      <c r="C22" t="s">
        <v>11</v>
      </c>
      <c r="D22" t="s">
        <v>17</v>
      </c>
      <c r="E22" t="s">
        <v>13</v>
      </c>
      <c r="F22">
        <v>41</v>
      </c>
      <c r="G22">
        <v>143381.07</v>
      </c>
      <c r="H22">
        <v>1</v>
      </c>
      <c r="I22">
        <v>87</v>
      </c>
      <c r="J22" t="s">
        <v>239</v>
      </c>
    </row>
    <row r="23" spans="1:10" x14ac:dyDescent="0.25">
      <c r="A23" t="s">
        <v>65</v>
      </c>
      <c r="B23" t="s">
        <v>22</v>
      </c>
      <c r="C23" t="s">
        <v>11</v>
      </c>
      <c r="D23" t="s">
        <v>17</v>
      </c>
      <c r="E23" t="s">
        <v>29</v>
      </c>
      <c r="F23">
        <v>58</v>
      </c>
      <c r="G23">
        <v>86479.95</v>
      </c>
      <c r="H23">
        <v>1</v>
      </c>
      <c r="I23">
        <v>75</v>
      </c>
      <c r="J23" t="s">
        <v>239</v>
      </c>
    </row>
    <row r="24" spans="1:10" x14ac:dyDescent="0.25">
      <c r="A24" t="s">
        <v>67</v>
      </c>
      <c r="B24" t="s">
        <v>15</v>
      </c>
      <c r="C24" t="s">
        <v>28</v>
      </c>
      <c r="D24" t="s">
        <v>23</v>
      </c>
      <c r="E24" t="s">
        <v>18</v>
      </c>
      <c r="F24">
        <v>31</v>
      </c>
      <c r="G24">
        <v>113414.83</v>
      </c>
      <c r="H24">
        <v>8</v>
      </c>
      <c r="I24">
        <v>70</v>
      </c>
      <c r="J24" t="s">
        <v>239</v>
      </c>
    </row>
    <row r="25" spans="1:10" x14ac:dyDescent="0.25">
      <c r="A25" t="s">
        <v>68</v>
      </c>
      <c r="B25" t="s">
        <v>31</v>
      </c>
      <c r="C25" t="s">
        <v>16</v>
      </c>
      <c r="D25" t="s">
        <v>12</v>
      </c>
      <c r="E25" t="s">
        <v>18</v>
      </c>
      <c r="F25">
        <v>85</v>
      </c>
      <c r="G25">
        <v>78946.19</v>
      </c>
      <c r="H25">
        <v>3</v>
      </c>
      <c r="I25">
        <v>48</v>
      </c>
      <c r="J25" t="s">
        <v>239</v>
      </c>
    </row>
    <row r="26" spans="1:10" x14ac:dyDescent="0.25">
      <c r="A26" t="s">
        <v>69</v>
      </c>
      <c r="B26" t="s">
        <v>10</v>
      </c>
      <c r="C26" t="s">
        <v>11</v>
      </c>
      <c r="D26" t="s">
        <v>26</v>
      </c>
      <c r="E26" t="s">
        <v>18</v>
      </c>
      <c r="F26">
        <v>22</v>
      </c>
      <c r="G26">
        <v>100035.91</v>
      </c>
      <c r="H26">
        <v>29</v>
      </c>
      <c r="I26">
        <v>70</v>
      </c>
      <c r="J26" t="s">
        <v>239</v>
      </c>
    </row>
    <row r="27" spans="1:10" x14ac:dyDescent="0.25">
      <c r="A27" t="s">
        <v>70</v>
      </c>
      <c r="B27" t="s">
        <v>15</v>
      </c>
      <c r="C27" t="s">
        <v>28</v>
      </c>
      <c r="D27" t="s">
        <v>23</v>
      </c>
      <c r="E27" t="s">
        <v>18</v>
      </c>
      <c r="F27">
        <v>62</v>
      </c>
      <c r="G27">
        <v>149340.16</v>
      </c>
      <c r="H27">
        <v>18</v>
      </c>
      <c r="I27">
        <v>49</v>
      </c>
      <c r="J27" t="s">
        <v>239</v>
      </c>
    </row>
    <row r="28" spans="1:10" x14ac:dyDescent="0.25">
      <c r="A28" t="s">
        <v>71</v>
      </c>
      <c r="B28" t="s">
        <v>10</v>
      </c>
      <c r="C28" t="s">
        <v>11</v>
      </c>
      <c r="D28" t="s">
        <v>12</v>
      </c>
      <c r="E28" t="s">
        <v>13</v>
      </c>
      <c r="F28">
        <v>79</v>
      </c>
      <c r="G28">
        <v>105328.19</v>
      </c>
      <c r="H28">
        <v>26</v>
      </c>
      <c r="I28">
        <v>94</v>
      </c>
      <c r="J28" t="s">
        <v>239</v>
      </c>
    </row>
    <row r="29" spans="1:10" x14ac:dyDescent="0.25">
      <c r="A29" t="s">
        <v>73</v>
      </c>
      <c r="B29" t="s">
        <v>36</v>
      </c>
      <c r="C29" t="s">
        <v>11</v>
      </c>
      <c r="D29" t="s">
        <v>32</v>
      </c>
      <c r="E29" t="s">
        <v>18</v>
      </c>
      <c r="F29">
        <v>37</v>
      </c>
      <c r="G29">
        <v>77556.53</v>
      </c>
      <c r="H29">
        <v>24</v>
      </c>
      <c r="I29">
        <v>87</v>
      </c>
      <c r="J29" t="s">
        <v>239</v>
      </c>
    </row>
    <row r="30" spans="1:10" x14ac:dyDescent="0.25">
      <c r="A30" t="s">
        <v>75</v>
      </c>
      <c r="B30" t="s">
        <v>15</v>
      </c>
      <c r="C30" t="s">
        <v>41</v>
      </c>
      <c r="D30" t="s">
        <v>12</v>
      </c>
      <c r="E30" t="s">
        <v>18</v>
      </c>
      <c r="F30">
        <v>66</v>
      </c>
      <c r="G30">
        <v>84096.91</v>
      </c>
      <c r="H30">
        <v>18</v>
      </c>
      <c r="I30">
        <v>91</v>
      </c>
      <c r="J30" t="s">
        <v>239</v>
      </c>
    </row>
    <row r="31" spans="1:10" x14ac:dyDescent="0.25">
      <c r="A31" t="s">
        <v>77</v>
      </c>
      <c r="B31" t="s">
        <v>10</v>
      </c>
      <c r="C31" t="s">
        <v>28</v>
      </c>
      <c r="D31" t="s">
        <v>17</v>
      </c>
      <c r="E31" t="s">
        <v>18</v>
      </c>
      <c r="F31">
        <v>60</v>
      </c>
      <c r="G31">
        <v>122442.43</v>
      </c>
      <c r="H31">
        <v>6</v>
      </c>
      <c r="I31">
        <v>94</v>
      </c>
      <c r="J31" t="s">
        <v>239</v>
      </c>
    </row>
    <row r="32" spans="1:10" x14ac:dyDescent="0.25">
      <c r="A32" t="s">
        <v>79</v>
      </c>
      <c r="B32" t="s">
        <v>22</v>
      </c>
      <c r="C32" t="s">
        <v>11</v>
      </c>
      <c r="D32" t="s">
        <v>23</v>
      </c>
      <c r="E32" t="s">
        <v>13</v>
      </c>
      <c r="F32">
        <v>21</v>
      </c>
      <c r="G32">
        <v>75334.19</v>
      </c>
      <c r="H32">
        <v>23</v>
      </c>
      <c r="I32">
        <v>51</v>
      </c>
      <c r="J32" t="s">
        <v>239</v>
      </c>
    </row>
    <row r="33" spans="1:10" x14ac:dyDescent="0.25">
      <c r="A33" t="s">
        <v>83</v>
      </c>
      <c r="B33" t="s">
        <v>15</v>
      </c>
      <c r="C33" t="s">
        <v>11</v>
      </c>
      <c r="D33" t="s">
        <v>12</v>
      </c>
      <c r="E33" t="s">
        <v>18</v>
      </c>
      <c r="F33">
        <v>7</v>
      </c>
      <c r="G33">
        <v>127110.45</v>
      </c>
      <c r="H33">
        <v>30</v>
      </c>
      <c r="I33">
        <v>100</v>
      </c>
      <c r="J33" t="s">
        <v>239</v>
      </c>
    </row>
    <row r="34" spans="1:10" x14ac:dyDescent="0.25">
      <c r="A34" t="s">
        <v>84</v>
      </c>
      <c r="B34" t="s">
        <v>25</v>
      </c>
      <c r="C34" t="s">
        <v>16</v>
      </c>
      <c r="D34" t="s">
        <v>17</v>
      </c>
      <c r="E34" t="s">
        <v>29</v>
      </c>
      <c r="F34">
        <v>80</v>
      </c>
      <c r="G34">
        <v>120082.46</v>
      </c>
      <c r="H34">
        <v>16</v>
      </c>
      <c r="I34">
        <v>93</v>
      </c>
      <c r="J34" t="s">
        <v>239</v>
      </c>
    </row>
    <row r="35" spans="1:10" x14ac:dyDescent="0.25">
      <c r="A35" t="s">
        <v>85</v>
      </c>
      <c r="B35" t="s">
        <v>15</v>
      </c>
      <c r="C35" t="s">
        <v>28</v>
      </c>
      <c r="D35" t="s">
        <v>17</v>
      </c>
      <c r="E35" t="s">
        <v>18</v>
      </c>
      <c r="F35">
        <v>75</v>
      </c>
      <c r="G35">
        <v>79671.37</v>
      </c>
      <c r="H35">
        <v>30</v>
      </c>
      <c r="I35">
        <v>43</v>
      </c>
      <c r="J35" t="s">
        <v>239</v>
      </c>
    </row>
    <row r="36" spans="1:10" x14ac:dyDescent="0.25">
      <c r="A36" t="s">
        <v>88</v>
      </c>
      <c r="B36" t="s">
        <v>36</v>
      </c>
      <c r="C36" t="s">
        <v>28</v>
      </c>
      <c r="D36" t="s">
        <v>17</v>
      </c>
      <c r="E36" t="s">
        <v>18</v>
      </c>
      <c r="F36">
        <v>22</v>
      </c>
      <c r="G36">
        <v>133882.43</v>
      </c>
      <c r="H36">
        <v>29</v>
      </c>
      <c r="I36">
        <v>63</v>
      </c>
      <c r="J36" t="s">
        <v>239</v>
      </c>
    </row>
    <row r="37" spans="1:10" x14ac:dyDescent="0.25">
      <c r="A37" t="s">
        <v>89</v>
      </c>
      <c r="B37" t="s">
        <v>25</v>
      </c>
      <c r="C37" t="s">
        <v>41</v>
      </c>
      <c r="D37" t="s">
        <v>12</v>
      </c>
      <c r="E37" t="s">
        <v>29</v>
      </c>
      <c r="F37">
        <v>73</v>
      </c>
      <c r="G37">
        <v>148488.95000000001</v>
      </c>
      <c r="H37">
        <v>22</v>
      </c>
      <c r="I37">
        <v>77</v>
      </c>
      <c r="J37" t="s">
        <v>239</v>
      </c>
    </row>
    <row r="38" spans="1:10" x14ac:dyDescent="0.25">
      <c r="A38" t="s">
        <v>91</v>
      </c>
      <c r="B38" t="s">
        <v>22</v>
      </c>
      <c r="C38" t="s">
        <v>16</v>
      </c>
      <c r="D38" t="s">
        <v>32</v>
      </c>
      <c r="E38" t="s">
        <v>18</v>
      </c>
      <c r="F38">
        <v>6</v>
      </c>
      <c r="G38">
        <v>98732.94</v>
      </c>
      <c r="H38">
        <v>25</v>
      </c>
      <c r="I38">
        <v>45</v>
      </c>
      <c r="J38" t="s">
        <v>239</v>
      </c>
    </row>
    <row r="39" spans="1:10" x14ac:dyDescent="0.25">
      <c r="A39" t="s">
        <v>93</v>
      </c>
      <c r="B39" t="s">
        <v>10</v>
      </c>
      <c r="C39" t="s">
        <v>16</v>
      </c>
      <c r="D39" t="s">
        <v>32</v>
      </c>
      <c r="E39" t="s">
        <v>18</v>
      </c>
      <c r="F39">
        <v>14</v>
      </c>
      <c r="G39">
        <v>113363.27</v>
      </c>
      <c r="H39">
        <v>9</v>
      </c>
      <c r="I39">
        <v>74</v>
      </c>
      <c r="J39" t="s">
        <v>239</v>
      </c>
    </row>
    <row r="40" spans="1:10" x14ac:dyDescent="0.25">
      <c r="A40" t="s">
        <v>96</v>
      </c>
      <c r="B40" t="s">
        <v>31</v>
      </c>
      <c r="C40" t="s">
        <v>16</v>
      </c>
      <c r="D40" t="s">
        <v>23</v>
      </c>
      <c r="E40" t="s">
        <v>29</v>
      </c>
      <c r="F40">
        <v>56</v>
      </c>
      <c r="G40">
        <v>147658.16</v>
      </c>
      <c r="H40">
        <v>11</v>
      </c>
      <c r="I40">
        <v>96</v>
      </c>
      <c r="J40" t="s">
        <v>239</v>
      </c>
    </row>
    <row r="41" spans="1:10" x14ac:dyDescent="0.25">
      <c r="A41" t="s">
        <v>97</v>
      </c>
      <c r="B41" t="s">
        <v>22</v>
      </c>
      <c r="C41" t="s">
        <v>16</v>
      </c>
      <c r="D41" t="s">
        <v>12</v>
      </c>
      <c r="E41" t="s">
        <v>13</v>
      </c>
      <c r="F41">
        <v>40</v>
      </c>
      <c r="G41">
        <v>79386.600000000006</v>
      </c>
      <c r="H41">
        <v>21</v>
      </c>
      <c r="I41">
        <v>67</v>
      </c>
      <c r="J41" t="s">
        <v>239</v>
      </c>
    </row>
    <row r="42" spans="1:10" x14ac:dyDescent="0.25">
      <c r="A42" t="s">
        <v>100</v>
      </c>
      <c r="B42" t="s">
        <v>31</v>
      </c>
      <c r="C42" t="s">
        <v>41</v>
      </c>
      <c r="D42" t="s">
        <v>12</v>
      </c>
      <c r="E42" t="s">
        <v>29</v>
      </c>
      <c r="F42">
        <v>56</v>
      </c>
      <c r="G42">
        <v>120488.57</v>
      </c>
      <c r="H42">
        <v>30</v>
      </c>
      <c r="I42">
        <v>48</v>
      </c>
      <c r="J42" t="s">
        <v>239</v>
      </c>
    </row>
    <row r="43" spans="1:10" x14ac:dyDescent="0.25">
      <c r="A43" t="s">
        <v>101</v>
      </c>
      <c r="B43" t="s">
        <v>22</v>
      </c>
      <c r="C43" t="s">
        <v>28</v>
      </c>
      <c r="D43" t="s">
        <v>12</v>
      </c>
      <c r="E43" t="s">
        <v>13</v>
      </c>
      <c r="F43">
        <v>8</v>
      </c>
      <c r="G43">
        <v>111873.66</v>
      </c>
      <c r="H43">
        <v>16</v>
      </c>
      <c r="I43">
        <v>74</v>
      </c>
      <c r="J43" t="s">
        <v>239</v>
      </c>
    </row>
    <row r="44" spans="1:10" x14ac:dyDescent="0.25">
      <c r="A44" t="s">
        <v>103</v>
      </c>
      <c r="B44" t="s">
        <v>22</v>
      </c>
      <c r="C44" t="s">
        <v>41</v>
      </c>
      <c r="D44" t="s">
        <v>32</v>
      </c>
      <c r="E44" t="s">
        <v>29</v>
      </c>
      <c r="F44">
        <v>17</v>
      </c>
      <c r="G44">
        <v>142458.98000000001</v>
      </c>
      <c r="H44">
        <v>6</v>
      </c>
      <c r="I44">
        <v>69</v>
      </c>
      <c r="J44" t="s">
        <v>239</v>
      </c>
    </row>
    <row r="45" spans="1:10" x14ac:dyDescent="0.25">
      <c r="A45" t="s">
        <v>105</v>
      </c>
      <c r="B45" t="s">
        <v>36</v>
      </c>
      <c r="C45" t="s">
        <v>41</v>
      </c>
      <c r="D45" t="s">
        <v>12</v>
      </c>
      <c r="E45" t="s">
        <v>29</v>
      </c>
      <c r="F45">
        <v>49</v>
      </c>
      <c r="G45">
        <v>117019.47</v>
      </c>
      <c r="H45">
        <v>28</v>
      </c>
      <c r="I45">
        <v>63</v>
      </c>
      <c r="J45" t="s">
        <v>239</v>
      </c>
    </row>
    <row r="46" spans="1:10" x14ac:dyDescent="0.25">
      <c r="A46" t="s">
        <v>108</v>
      </c>
      <c r="B46" t="s">
        <v>22</v>
      </c>
      <c r="C46" t="s">
        <v>11</v>
      </c>
      <c r="D46" t="s">
        <v>12</v>
      </c>
      <c r="E46" t="s">
        <v>29</v>
      </c>
      <c r="F46">
        <v>13</v>
      </c>
      <c r="G46">
        <v>137441.75</v>
      </c>
      <c r="H46">
        <v>23</v>
      </c>
      <c r="I46">
        <v>74</v>
      </c>
      <c r="J46" t="s">
        <v>239</v>
      </c>
    </row>
    <row r="47" spans="1:10" x14ac:dyDescent="0.25">
      <c r="A47" t="s">
        <v>112</v>
      </c>
      <c r="B47" t="s">
        <v>36</v>
      </c>
      <c r="C47" t="s">
        <v>16</v>
      </c>
      <c r="D47" t="s">
        <v>26</v>
      </c>
      <c r="E47" t="s">
        <v>29</v>
      </c>
      <c r="F47">
        <v>63</v>
      </c>
      <c r="G47">
        <v>82657.039999999994</v>
      </c>
      <c r="H47">
        <v>4</v>
      </c>
      <c r="I47">
        <v>55</v>
      </c>
      <c r="J47" t="s">
        <v>239</v>
      </c>
    </row>
    <row r="48" spans="1:10" x14ac:dyDescent="0.25">
      <c r="A48" t="s">
        <v>116</v>
      </c>
      <c r="B48" t="s">
        <v>25</v>
      </c>
      <c r="C48" t="s">
        <v>41</v>
      </c>
      <c r="D48" t="s">
        <v>12</v>
      </c>
      <c r="E48" t="s">
        <v>29</v>
      </c>
      <c r="F48">
        <v>46</v>
      </c>
      <c r="G48">
        <v>128560.01</v>
      </c>
      <c r="H48">
        <v>7</v>
      </c>
      <c r="I48">
        <v>52</v>
      </c>
      <c r="J48" t="s">
        <v>239</v>
      </c>
    </row>
    <row r="49" spans="1:10" x14ac:dyDescent="0.25">
      <c r="A49" t="s">
        <v>117</v>
      </c>
      <c r="B49" t="s">
        <v>31</v>
      </c>
      <c r="C49" t="s">
        <v>11</v>
      </c>
      <c r="D49" t="s">
        <v>23</v>
      </c>
      <c r="E49" t="s">
        <v>29</v>
      </c>
      <c r="F49">
        <v>30</v>
      </c>
      <c r="G49">
        <v>147742.63</v>
      </c>
      <c r="H49">
        <v>28</v>
      </c>
      <c r="I49">
        <v>62</v>
      </c>
      <c r="J49" t="s">
        <v>239</v>
      </c>
    </row>
    <row r="50" spans="1:10" x14ac:dyDescent="0.25">
      <c r="A50" t="s">
        <v>119</v>
      </c>
      <c r="B50" t="s">
        <v>36</v>
      </c>
      <c r="C50" t="s">
        <v>28</v>
      </c>
      <c r="D50" t="s">
        <v>23</v>
      </c>
      <c r="E50" t="s">
        <v>29</v>
      </c>
      <c r="F50">
        <v>1</v>
      </c>
      <c r="G50">
        <v>146289.26999999999</v>
      </c>
      <c r="H50">
        <v>17</v>
      </c>
      <c r="I50">
        <v>47</v>
      </c>
      <c r="J50" t="s">
        <v>239</v>
      </c>
    </row>
    <row r="51" spans="1:10" x14ac:dyDescent="0.25">
      <c r="A51" t="s">
        <v>120</v>
      </c>
      <c r="B51" t="s">
        <v>31</v>
      </c>
      <c r="C51" t="s">
        <v>41</v>
      </c>
      <c r="D51" t="s">
        <v>32</v>
      </c>
      <c r="E51" t="s">
        <v>29</v>
      </c>
      <c r="F51">
        <v>89</v>
      </c>
      <c r="G51">
        <v>128840.81</v>
      </c>
      <c r="H51">
        <v>22</v>
      </c>
      <c r="I51">
        <v>81</v>
      </c>
      <c r="J51" t="s">
        <v>239</v>
      </c>
    </row>
    <row r="52" spans="1:10" x14ac:dyDescent="0.25">
      <c r="A52" t="s">
        <v>123</v>
      </c>
      <c r="B52" t="s">
        <v>25</v>
      </c>
      <c r="C52" t="s">
        <v>16</v>
      </c>
      <c r="D52" t="s">
        <v>32</v>
      </c>
      <c r="E52" t="s">
        <v>29</v>
      </c>
      <c r="F52">
        <v>54</v>
      </c>
      <c r="G52">
        <v>100747.7</v>
      </c>
      <c r="H52">
        <v>12</v>
      </c>
      <c r="I52">
        <v>74</v>
      </c>
      <c r="J52" t="s">
        <v>239</v>
      </c>
    </row>
    <row r="53" spans="1:10" x14ac:dyDescent="0.25">
      <c r="A53" t="s">
        <v>124</v>
      </c>
      <c r="B53" t="s">
        <v>15</v>
      </c>
      <c r="C53" t="s">
        <v>11</v>
      </c>
      <c r="D53" t="s">
        <v>12</v>
      </c>
      <c r="E53" t="s">
        <v>29</v>
      </c>
      <c r="F53">
        <v>35</v>
      </c>
      <c r="G53">
        <v>85523.17</v>
      </c>
      <c r="H53">
        <v>30</v>
      </c>
      <c r="I53">
        <v>90</v>
      </c>
      <c r="J53" t="s">
        <v>239</v>
      </c>
    </row>
    <row r="54" spans="1:10" x14ac:dyDescent="0.25">
      <c r="A54" t="s">
        <v>125</v>
      </c>
      <c r="B54" t="s">
        <v>31</v>
      </c>
      <c r="C54" t="s">
        <v>16</v>
      </c>
      <c r="D54" t="s">
        <v>23</v>
      </c>
      <c r="E54" t="s">
        <v>29</v>
      </c>
      <c r="F54">
        <v>33</v>
      </c>
      <c r="G54">
        <v>79151.14</v>
      </c>
      <c r="H54">
        <v>2</v>
      </c>
      <c r="I54">
        <v>56</v>
      </c>
      <c r="J54" t="s">
        <v>239</v>
      </c>
    </row>
    <row r="55" spans="1:10" x14ac:dyDescent="0.25">
      <c r="A55" t="s">
        <v>126</v>
      </c>
      <c r="B55" t="s">
        <v>36</v>
      </c>
      <c r="C55" t="s">
        <v>11</v>
      </c>
      <c r="D55" t="s">
        <v>23</v>
      </c>
      <c r="E55" t="s">
        <v>13</v>
      </c>
      <c r="F55">
        <v>30</v>
      </c>
      <c r="G55">
        <v>115395.67</v>
      </c>
      <c r="H55">
        <v>11</v>
      </c>
      <c r="I55">
        <v>74</v>
      </c>
      <c r="J55" t="s">
        <v>239</v>
      </c>
    </row>
    <row r="56" spans="1:10" x14ac:dyDescent="0.25">
      <c r="A56" t="s">
        <v>129</v>
      </c>
      <c r="B56" t="s">
        <v>36</v>
      </c>
      <c r="C56" t="s">
        <v>41</v>
      </c>
      <c r="D56" t="s">
        <v>12</v>
      </c>
      <c r="E56" t="s">
        <v>13</v>
      </c>
      <c r="F56">
        <v>6</v>
      </c>
      <c r="G56">
        <v>77311.77</v>
      </c>
      <c r="H56">
        <v>19</v>
      </c>
      <c r="I56">
        <v>90</v>
      </c>
      <c r="J56" t="s">
        <v>239</v>
      </c>
    </row>
    <row r="57" spans="1:10" x14ac:dyDescent="0.25">
      <c r="A57" t="s">
        <v>131</v>
      </c>
      <c r="B57" t="s">
        <v>15</v>
      </c>
      <c r="C57" t="s">
        <v>28</v>
      </c>
      <c r="D57" t="s">
        <v>26</v>
      </c>
      <c r="E57" t="s">
        <v>13</v>
      </c>
      <c r="F57">
        <v>52</v>
      </c>
      <c r="G57">
        <v>97685.72</v>
      </c>
      <c r="H57">
        <v>28</v>
      </c>
      <c r="I57">
        <v>59</v>
      </c>
      <c r="J57" t="s">
        <v>239</v>
      </c>
    </row>
    <row r="58" spans="1:10" x14ac:dyDescent="0.25">
      <c r="A58" t="s">
        <v>132</v>
      </c>
      <c r="B58" t="s">
        <v>10</v>
      </c>
      <c r="C58" t="s">
        <v>16</v>
      </c>
      <c r="D58" t="s">
        <v>23</v>
      </c>
      <c r="E58" t="s">
        <v>18</v>
      </c>
      <c r="F58">
        <v>64</v>
      </c>
      <c r="G58">
        <v>142687.47</v>
      </c>
      <c r="H58">
        <v>27</v>
      </c>
      <c r="I58">
        <v>80</v>
      </c>
      <c r="J58" t="s">
        <v>239</v>
      </c>
    </row>
    <row r="59" spans="1:10" x14ac:dyDescent="0.25">
      <c r="A59" t="s">
        <v>135</v>
      </c>
      <c r="B59" t="s">
        <v>22</v>
      </c>
      <c r="C59" t="s">
        <v>28</v>
      </c>
      <c r="D59" t="s">
        <v>12</v>
      </c>
      <c r="E59" t="s">
        <v>13</v>
      </c>
      <c r="F59">
        <v>22</v>
      </c>
      <c r="G59">
        <v>97228.49</v>
      </c>
      <c r="H59">
        <v>7</v>
      </c>
      <c r="I59">
        <v>60</v>
      </c>
      <c r="J59" t="s">
        <v>239</v>
      </c>
    </row>
    <row r="60" spans="1:10" x14ac:dyDescent="0.25">
      <c r="A60" t="s">
        <v>136</v>
      </c>
      <c r="B60" t="s">
        <v>25</v>
      </c>
      <c r="C60" t="s">
        <v>28</v>
      </c>
      <c r="D60" t="s">
        <v>17</v>
      </c>
      <c r="E60" t="s">
        <v>13</v>
      </c>
      <c r="F60">
        <v>42</v>
      </c>
      <c r="G60">
        <v>91441.1</v>
      </c>
      <c r="H60">
        <v>22</v>
      </c>
      <c r="I60">
        <v>84</v>
      </c>
      <c r="J60" t="s">
        <v>239</v>
      </c>
    </row>
    <row r="61" spans="1:10" x14ac:dyDescent="0.25">
      <c r="A61" t="s">
        <v>137</v>
      </c>
      <c r="B61" t="s">
        <v>10</v>
      </c>
      <c r="C61" t="s">
        <v>41</v>
      </c>
      <c r="D61" t="s">
        <v>32</v>
      </c>
      <c r="E61" t="s">
        <v>13</v>
      </c>
      <c r="F61">
        <v>24</v>
      </c>
      <c r="G61">
        <v>139624.06</v>
      </c>
      <c r="H61">
        <v>5</v>
      </c>
      <c r="I61">
        <v>55</v>
      </c>
      <c r="J61" t="s">
        <v>239</v>
      </c>
    </row>
    <row r="62" spans="1:10" x14ac:dyDescent="0.25">
      <c r="A62" t="s">
        <v>138</v>
      </c>
      <c r="B62" t="s">
        <v>25</v>
      </c>
      <c r="C62" t="s">
        <v>16</v>
      </c>
      <c r="D62" t="s">
        <v>12</v>
      </c>
      <c r="E62" t="s">
        <v>29</v>
      </c>
      <c r="F62">
        <v>17</v>
      </c>
      <c r="G62">
        <v>86650.5</v>
      </c>
      <c r="H62">
        <v>3</v>
      </c>
      <c r="I62">
        <v>53</v>
      </c>
      <c r="J62" t="s">
        <v>239</v>
      </c>
    </row>
    <row r="63" spans="1:10" x14ac:dyDescent="0.25">
      <c r="A63" t="s">
        <v>139</v>
      </c>
      <c r="B63" t="s">
        <v>31</v>
      </c>
      <c r="C63" t="s">
        <v>11</v>
      </c>
      <c r="D63" t="s">
        <v>17</v>
      </c>
      <c r="E63" t="s">
        <v>18</v>
      </c>
      <c r="F63">
        <v>75</v>
      </c>
      <c r="G63">
        <v>85517.09</v>
      </c>
      <c r="H63">
        <v>6</v>
      </c>
      <c r="I63">
        <v>79</v>
      </c>
      <c r="J63" t="s">
        <v>239</v>
      </c>
    </row>
    <row r="64" spans="1:10" x14ac:dyDescent="0.25">
      <c r="A64" t="s">
        <v>140</v>
      </c>
      <c r="B64" t="s">
        <v>10</v>
      </c>
      <c r="C64" t="s">
        <v>11</v>
      </c>
      <c r="D64" t="s">
        <v>17</v>
      </c>
      <c r="E64" t="s">
        <v>13</v>
      </c>
      <c r="F64">
        <v>47</v>
      </c>
      <c r="G64">
        <v>134120.62</v>
      </c>
      <c r="H64">
        <v>11</v>
      </c>
      <c r="I64">
        <v>92</v>
      </c>
      <c r="J64" t="s">
        <v>239</v>
      </c>
    </row>
    <row r="65" spans="1:10" x14ac:dyDescent="0.25">
      <c r="A65" t="s">
        <v>142</v>
      </c>
      <c r="B65" t="s">
        <v>10</v>
      </c>
      <c r="C65" t="s">
        <v>28</v>
      </c>
      <c r="D65" t="s">
        <v>23</v>
      </c>
      <c r="E65" t="s">
        <v>18</v>
      </c>
      <c r="F65">
        <v>20</v>
      </c>
      <c r="G65">
        <v>88741.64</v>
      </c>
      <c r="H65">
        <v>26</v>
      </c>
      <c r="I65">
        <v>99</v>
      </c>
      <c r="J65" t="s">
        <v>239</v>
      </c>
    </row>
    <row r="66" spans="1:10" x14ac:dyDescent="0.25">
      <c r="A66" t="s">
        <v>144</v>
      </c>
      <c r="B66" t="s">
        <v>10</v>
      </c>
      <c r="C66" t="s">
        <v>41</v>
      </c>
      <c r="D66" t="s">
        <v>32</v>
      </c>
      <c r="E66" t="s">
        <v>13</v>
      </c>
      <c r="F66">
        <v>30</v>
      </c>
      <c r="G66">
        <v>97613.71</v>
      </c>
      <c r="H66">
        <v>24</v>
      </c>
      <c r="I66">
        <v>72</v>
      </c>
      <c r="J66" t="s">
        <v>239</v>
      </c>
    </row>
    <row r="67" spans="1:10" x14ac:dyDescent="0.25">
      <c r="A67" t="s">
        <v>145</v>
      </c>
      <c r="B67" t="s">
        <v>36</v>
      </c>
      <c r="C67" t="s">
        <v>41</v>
      </c>
      <c r="D67" t="s">
        <v>23</v>
      </c>
      <c r="E67" t="s">
        <v>13</v>
      </c>
      <c r="F67">
        <v>81</v>
      </c>
      <c r="G67">
        <v>135711.26999999999</v>
      </c>
      <c r="H67">
        <v>14</v>
      </c>
      <c r="I67">
        <v>99</v>
      </c>
      <c r="J67" t="s">
        <v>239</v>
      </c>
    </row>
    <row r="68" spans="1:10" x14ac:dyDescent="0.25">
      <c r="A68" t="s">
        <v>146</v>
      </c>
      <c r="B68" t="s">
        <v>15</v>
      </c>
      <c r="C68" t="s">
        <v>16</v>
      </c>
      <c r="D68" t="s">
        <v>23</v>
      </c>
      <c r="E68" t="s">
        <v>13</v>
      </c>
      <c r="F68">
        <v>48</v>
      </c>
      <c r="G68">
        <v>117464.18</v>
      </c>
      <c r="H68">
        <v>2</v>
      </c>
      <c r="I68">
        <v>61</v>
      </c>
      <c r="J68" t="s">
        <v>239</v>
      </c>
    </row>
    <row r="69" spans="1:10" x14ac:dyDescent="0.25">
      <c r="A69" t="s">
        <v>147</v>
      </c>
      <c r="B69" t="s">
        <v>22</v>
      </c>
      <c r="C69" t="s">
        <v>16</v>
      </c>
      <c r="D69" t="s">
        <v>23</v>
      </c>
      <c r="E69" t="s">
        <v>29</v>
      </c>
      <c r="F69">
        <v>45</v>
      </c>
      <c r="G69">
        <v>89474.55</v>
      </c>
      <c r="H69">
        <v>21</v>
      </c>
      <c r="I69">
        <v>64</v>
      </c>
      <c r="J69" t="s">
        <v>239</v>
      </c>
    </row>
    <row r="70" spans="1:10" x14ac:dyDescent="0.25">
      <c r="A70" t="s">
        <v>148</v>
      </c>
      <c r="B70" t="s">
        <v>10</v>
      </c>
      <c r="C70" t="s">
        <v>41</v>
      </c>
      <c r="D70" t="s">
        <v>32</v>
      </c>
      <c r="E70" t="s">
        <v>29</v>
      </c>
      <c r="F70">
        <v>1</v>
      </c>
      <c r="G70">
        <v>105954.09</v>
      </c>
      <c r="H70">
        <v>12</v>
      </c>
      <c r="I70">
        <v>95</v>
      </c>
      <c r="J70" t="s">
        <v>239</v>
      </c>
    </row>
    <row r="71" spans="1:10" x14ac:dyDescent="0.25">
      <c r="A71" t="s">
        <v>149</v>
      </c>
      <c r="B71" t="s">
        <v>15</v>
      </c>
      <c r="C71" t="s">
        <v>28</v>
      </c>
      <c r="D71" t="s">
        <v>26</v>
      </c>
      <c r="E71" t="s">
        <v>13</v>
      </c>
      <c r="F71">
        <v>30</v>
      </c>
      <c r="G71">
        <v>91267.91</v>
      </c>
      <c r="H71">
        <v>17</v>
      </c>
      <c r="I71">
        <v>76</v>
      </c>
      <c r="J71" t="s">
        <v>239</v>
      </c>
    </row>
    <row r="72" spans="1:10" x14ac:dyDescent="0.25">
      <c r="A72" t="s">
        <v>152</v>
      </c>
      <c r="B72" t="s">
        <v>22</v>
      </c>
      <c r="C72" t="s">
        <v>11</v>
      </c>
      <c r="D72" t="s">
        <v>32</v>
      </c>
      <c r="E72" t="s">
        <v>18</v>
      </c>
      <c r="F72">
        <v>35</v>
      </c>
      <c r="G72">
        <v>132265.98000000001</v>
      </c>
      <c r="H72">
        <v>7</v>
      </c>
      <c r="I72">
        <v>45</v>
      </c>
      <c r="J72" t="s">
        <v>239</v>
      </c>
    </row>
    <row r="73" spans="1:10" x14ac:dyDescent="0.25">
      <c r="A73" t="s">
        <v>154</v>
      </c>
      <c r="B73" t="s">
        <v>22</v>
      </c>
      <c r="C73" t="s">
        <v>41</v>
      </c>
      <c r="D73" t="s">
        <v>17</v>
      </c>
      <c r="E73" t="s">
        <v>18</v>
      </c>
      <c r="F73">
        <v>7</v>
      </c>
      <c r="G73">
        <v>135590.48000000001</v>
      </c>
      <c r="H73">
        <v>6</v>
      </c>
      <c r="I73">
        <v>46</v>
      </c>
      <c r="J73" t="s">
        <v>239</v>
      </c>
    </row>
    <row r="74" spans="1:10" x14ac:dyDescent="0.25">
      <c r="A74" t="s">
        <v>155</v>
      </c>
      <c r="B74" t="s">
        <v>15</v>
      </c>
      <c r="C74" t="s">
        <v>41</v>
      </c>
      <c r="D74" t="s">
        <v>32</v>
      </c>
      <c r="E74" t="s">
        <v>13</v>
      </c>
      <c r="F74">
        <v>73</v>
      </c>
      <c r="G74">
        <v>148956.56</v>
      </c>
      <c r="H74">
        <v>6</v>
      </c>
      <c r="I74">
        <v>100</v>
      </c>
      <c r="J74" t="s">
        <v>239</v>
      </c>
    </row>
    <row r="75" spans="1:10" x14ac:dyDescent="0.25">
      <c r="A75" t="s">
        <v>157</v>
      </c>
      <c r="B75" t="s">
        <v>22</v>
      </c>
      <c r="C75" t="s">
        <v>28</v>
      </c>
      <c r="D75" t="s">
        <v>17</v>
      </c>
      <c r="E75" t="s">
        <v>29</v>
      </c>
      <c r="F75">
        <v>37</v>
      </c>
      <c r="G75">
        <v>78613.16</v>
      </c>
      <c r="H75">
        <v>20</v>
      </c>
      <c r="I75">
        <v>85</v>
      </c>
      <c r="J75" t="s">
        <v>239</v>
      </c>
    </row>
    <row r="76" spans="1:10" x14ac:dyDescent="0.25">
      <c r="A76" t="s">
        <v>158</v>
      </c>
      <c r="B76" t="s">
        <v>22</v>
      </c>
      <c r="C76" t="s">
        <v>11</v>
      </c>
      <c r="D76" t="s">
        <v>23</v>
      </c>
      <c r="E76" t="s">
        <v>18</v>
      </c>
      <c r="F76">
        <v>53</v>
      </c>
      <c r="G76">
        <v>103548.4</v>
      </c>
      <c r="H76">
        <v>27</v>
      </c>
      <c r="I76">
        <v>74</v>
      </c>
      <c r="J76" t="s">
        <v>239</v>
      </c>
    </row>
    <row r="77" spans="1:10" x14ac:dyDescent="0.25">
      <c r="A77" t="s">
        <v>161</v>
      </c>
      <c r="B77" t="s">
        <v>10</v>
      </c>
      <c r="C77" t="s">
        <v>28</v>
      </c>
      <c r="D77" t="s">
        <v>32</v>
      </c>
      <c r="E77" t="s">
        <v>18</v>
      </c>
      <c r="F77">
        <v>38</v>
      </c>
      <c r="G77">
        <v>118022.05</v>
      </c>
      <c r="H77">
        <v>17</v>
      </c>
      <c r="I77">
        <v>79</v>
      </c>
      <c r="J77" t="s">
        <v>239</v>
      </c>
    </row>
    <row r="78" spans="1:10" x14ac:dyDescent="0.25">
      <c r="A78" t="s">
        <v>162</v>
      </c>
      <c r="B78" t="s">
        <v>25</v>
      </c>
      <c r="C78" t="s">
        <v>11</v>
      </c>
      <c r="D78" t="s">
        <v>26</v>
      </c>
      <c r="E78" t="s">
        <v>13</v>
      </c>
      <c r="F78">
        <v>49</v>
      </c>
      <c r="G78">
        <v>127750.62</v>
      </c>
      <c r="H78">
        <v>18</v>
      </c>
      <c r="I78">
        <v>60</v>
      </c>
      <c r="J78" t="s">
        <v>239</v>
      </c>
    </row>
    <row r="79" spans="1:10" x14ac:dyDescent="0.25">
      <c r="A79" t="s">
        <v>163</v>
      </c>
      <c r="B79" t="s">
        <v>15</v>
      </c>
      <c r="C79" t="s">
        <v>28</v>
      </c>
      <c r="D79" t="s">
        <v>17</v>
      </c>
      <c r="E79" t="s">
        <v>29</v>
      </c>
      <c r="F79">
        <v>27</v>
      </c>
      <c r="G79">
        <v>79666.86</v>
      </c>
      <c r="H79">
        <v>16</v>
      </c>
      <c r="I79">
        <v>85</v>
      </c>
      <c r="J79" t="s">
        <v>239</v>
      </c>
    </row>
    <row r="80" spans="1:10" x14ac:dyDescent="0.25">
      <c r="A80" t="s">
        <v>164</v>
      </c>
      <c r="B80" t="s">
        <v>22</v>
      </c>
      <c r="C80" t="s">
        <v>41</v>
      </c>
      <c r="D80" t="s">
        <v>12</v>
      </c>
      <c r="E80" t="s">
        <v>13</v>
      </c>
      <c r="F80">
        <v>65</v>
      </c>
      <c r="G80">
        <v>120956.04</v>
      </c>
      <c r="H80">
        <v>25</v>
      </c>
      <c r="I80">
        <v>95</v>
      </c>
      <c r="J80" t="s">
        <v>239</v>
      </c>
    </row>
    <row r="81" spans="1:10" x14ac:dyDescent="0.25">
      <c r="A81" t="s">
        <v>165</v>
      </c>
      <c r="B81" t="s">
        <v>10</v>
      </c>
      <c r="C81" t="s">
        <v>28</v>
      </c>
      <c r="D81" t="s">
        <v>26</v>
      </c>
      <c r="E81" t="s">
        <v>18</v>
      </c>
      <c r="F81">
        <v>58</v>
      </c>
      <c r="G81">
        <v>100338.81</v>
      </c>
      <c r="H81">
        <v>7</v>
      </c>
      <c r="I81">
        <v>59</v>
      </c>
      <c r="J81" t="s">
        <v>239</v>
      </c>
    </row>
    <row r="82" spans="1:10" x14ac:dyDescent="0.25">
      <c r="A82" t="s">
        <v>166</v>
      </c>
      <c r="B82" t="s">
        <v>31</v>
      </c>
      <c r="C82" t="s">
        <v>28</v>
      </c>
      <c r="D82" t="s">
        <v>12</v>
      </c>
      <c r="E82" t="s">
        <v>13</v>
      </c>
      <c r="F82">
        <v>22</v>
      </c>
      <c r="G82">
        <v>120621.62</v>
      </c>
      <c r="H82">
        <v>21</v>
      </c>
      <c r="I82">
        <v>74</v>
      </c>
      <c r="J82" t="s">
        <v>239</v>
      </c>
    </row>
    <row r="83" spans="1:10" x14ac:dyDescent="0.25">
      <c r="A83" t="s">
        <v>169</v>
      </c>
      <c r="B83" t="s">
        <v>15</v>
      </c>
      <c r="C83" t="s">
        <v>41</v>
      </c>
      <c r="D83" t="s">
        <v>32</v>
      </c>
      <c r="E83" t="s">
        <v>13</v>
      </c>
      <c r="F83">
        <v>57</v>
      </c>
      <c r="G83">
        <v>121600.57</v>
      </c>
      <c r="H83">
        <v>19</v>
      </c>
      <c r="I83">
        <v>94</v>
      </c>
      <c r="J83" t="s">
        <v>239</v>
      </c>
    </row>
    <row r="84" spans="1:10" x14ac:dyDescent="0.25">
      <c r="A84" t="s">
        <v>171</v>
      </c>
      <c r="B84" t="s">
        <v>10</v>
      </c>
      <c r="C84" t="s">
        <v>16</v>
      </c>
      <c r="D84" t="s">
        <v>23</v>
      </c>
      <c r="E84" t="s">
        <v>18</v>
      </c>
      <c r="F84">
        <v>51</v>
      </c>
      <c r="G84">
        <v>148766.01</v>
      </c>
      <c r="H84">
        <v>21</v>
      </c>
      <c r="I84">
        <v>76</v>
      </c>
      <c r="J84" t="s">
        <v>239</v>
      </c>
    </row>
    <row r="85" spans="1:10" x14ac:dyDescent="0.25">
      <c r="A85" t="s">
        <v>174</v>
      </c>
      <c r="B85" t="s">
        <v>36</v>
      </c>
      <c r="C85" t="s">
        <v>16</v>
      </c>
      <c r="D85" t="s">
        <v>17</v>
      </c>
      <c r="E85" t="s">
        <v>29</v>
      </c>
      <c r="F85">
        <v>34</v>
      </c>
      <c r="G85">
        <v>139264.72</v>
      </c>
      <c r="H85">
        <v>14</v>
      </c>
      <c r="I85">
        <v>72</v>
      </c>
      <c r="J85" t="s">
        <v>239</v>
      </c>
    </row>
    <row r="86" spans="1:10" x14ac:dyDescent="0.25">
      <c r="A86" t="s">
        <v>176</v>
      </c>
      <c r="B86" t="s">
        <v>10</v>
      </c>
      <c r="C86" t="s">
        <v>28</v>
      </c>
      <c r="D86" t="s">
        <v>17</v>
      </c>
      <c r="E86" t="s">
        <v>18</v>
      </c>
      <c r="F86">
        <v>73</v>
      </c>
      <c r="G86">
        <v>133910.69</v>
      </c>
      <c r="H86">
        <v>22</v>
      </c>
      <c r="I86">
        <v>87</v>
      </c>
      <c r="J86" t="s">
        <v>239</v>
      </c>
    </row>
    <row r="87" spans="1:10" x14ac:dyDescent="0.25">
      <c r="A87" t="s">
        <v>177</v>
      </c>
      <c r="B87" t="s">
        <v>25</v>
      </c>
      <c r="C87" t="s">
        <v>28</v>
      </c>
      <c r="D87" t="s">
        <v>12</v>
      </c>
      <c r="E87" t="s">
        <v>18</v>
      </c>
      <c r="F87">
        <v>8</v>
      </c>
      <c r="G87">
        <v>82835.539999999994</v>
      </c>
      <c r="H87">
        <v>24</v>
      </c>
      <c r="I87">
        <v>94</v>
      </c>
      <c r="J87" t="s">
        <v>239</v>
      </c>
    </row>
    <row r="88" spans="1:10" x14ac:dyDescent="0.25">
      <c r="A88" t="s">
        <v>178</v>
      </c>
      <c r="B88" t="s">
        <v>10</v>
      </c>
      <c r="C88" t="s">
        <v>16</v>
      </c>
      <c r="D88" t="s">
        <v>32</v>
      </c>
      <c r="E88" t="s">
        <v>18</v>
      </c>
      <c r="F88">
        <v>16</v>
      </c>
      <c r="G88">
        <v>109945.06</v>
      </c>
      <c r="H88">
        <v>23</v>
      </c>
      <c r="I88">
        <v>76</v>
      </c>
      <c r="J88" t="s">
        <v>239</v>
      </c>
    </row>
    <row r="89" spans="1:10" x14ac:dyDescent="0.25">
      <c r="A89" t="s">
        <v>181</v>
      </c>
      <c r="B89" t="s">
        <v>22</v>
      </c>
      <c r="C89" t="s">
        <v>41</v>
      </c>
      <c r="D89" t="s">
        <v>26</v>
      </c>
      <c r="E89" t="s">
        <v>18</v>
      </c>
      <c r="F89">
        <v>38</v>
      </c>
      <c r="G89">
        <v>121567.96</v>
      </c>
      <c r="H89">
        <v>26</v>
      </c>
      <c r="I89">
        <v>65</v>
      </c>
      <c r="J89" t="s">
        <v>239</v>
      </c>
    </row>
    <row r="90" spans="1:10" x14ac:dyDescent="0.25">
      <c r="A90" t="s">
        <v>183</v>
      </c>
      <c r="B90" t="s">
        <v>15</v>
      </c>
      <c r="C90" t="s">
        <v>28</v>
      </c>
      <c r="D90" t="s">
        <v>23</v>
      </c>
      <c r="E90" t="s">
        <v>18</v>
      </c>
      <c r="F90">
        <v>6</v>
      </c>
      <c r="G90">
        <v>116568.72</v>
      </c>
      <c r="H90">
        <v>24</v>
      </c>
      <c r="I90">
        <v>65</v>
      </c>
      <c r="J90" t="s">
        <v>239</v>
      </c>
    </row>
    <row r="91" spans="1:10" x14ac:dyDescent="0.25">
      <c r="A91" t="s">
        <v>185</v>
      </c>
      <c r="B91" t="s">
        <v>36</v>
      </c>
      <c r="C91" t="s">
        <v>16</v>
      </c>
      <c r="D91" t="s">
        <v>26</v>
      </c>
      <c r="E91" t="s">
        <v>29</v>
      </c>
      <c r="F91">
        <v>28</v>
      </c>
      <c r="G91">
        <v>136392.39000000001</v>
      </c>
      <c r="H91">
        <v>22</v>
      </c>
      <c r="I91">
        <v>77</v>
      </c>
      <c r="J91" t="s">
        <v>239</v>
      </c>
    </row>
    <row r="92" spans="1:10" x14ac:dyDescent="0.25">
      <c r="A92" t="s">
        <v>186</v>
      </c>
      <c r="B92" t="s">
        <v>36</v>
      </c>
      <c r="C92" t="s">
        <v>41</v>
      </c>
      <c r="D92" t="s">
        <v>26</v>
      </c>
      <c r="E92" t="s">
        <v>29</v>
      </c>
      <c r="F92">
        <v>56</v>
      </c>
      <c r="G92">
        <v>139281.34</v>
      </c>
      <c r="H92">
        <v>24</v>
      </c>
      <c r="I92">
        <v>96</v>
      </c>
      <c r="J92" t="s">
        <v>239</v>
      </c>
    </row>
    <row r="93" spans="1:10" x14ac:dyDescent="0.25">
      <c r="A93" t="s">
        <v>187</v>
      </c>
      <c r="B93" t="s">
        <v>15</v>
      </c>
      <c r="C93" t="s">
        <v>11</v>
      </c>
      <c r="D93" t="s">
        <v>26</v>
      </c>
      <c r="E93" t="s">
        <v>18</v>
      </c>
      <c r="F93">
        <v>80</v>
      </c>
      <c r="G93">
        <v>140818.37</v>
      </c>
      <c r="H93">
        <v>9</v>
      </c>
      <c r="I93">
        <v>42</v>
      </c>
      <c r="J93" t="s">
        <v>239</v>
      </c>
    </row>
    <row r="94" spans="1:10" x14ac:dyDescent="0.25">
      <c r="A94" t="s">
        <v>189</v>
      </c>
      <c r="B94" t="s">
        <v>22</v>
      </c>
      <c r="C94" t="s">
        <v>41</v>
      </c>
      <c r="D94" t="s">
        <v>32</v>
      </c>
      <c r="E94" t="s">
        <v>29</v>
      </c>
      <c r="F94">
        <v>72</v>
      </c>
      <c r="G94">
        <v>144841.74</v>
      </c>
      <c r="H94">
        <v>5</v>
      </c>
      <c r="I94">
        <v>57</v>
      </c>
      <c r="J94" t="s">
        <v>239</v>
      </c>
    </row>
    <row r="95" spans="1:10" x14ac:dyDescent="0.25">
      <c r="A95" t="s">
        <v>190</v>
      </c>
      <c r="B95" t="s">
        <v>31</v>
      </c>
      <c r="C95" t="s">
        <v>11</v>
      </c>
      <c r="D95" t="s">
        <v>23</v>
      </c>
      <c r="E95" t="s">
        <v>18</v>
      </c>
      <c r="F95">
        <v>14</v>
      </c>
      <c r="G95">
        <v>123398.79</v>
      </c>
      <c r="H95">
        <v>21</v>
      </c>
      <c r="I95">
        <v>77</v>
      </c>
      <c r="J95" t="s">
        <v>239</v>
      </c>
    </row>
    <row r="96" spans="1:10" x14ac:dyDescent="0.25">
      <c r="A96" t="s">
        <v>192</v>
      </c>
      <c r="B96" t="s">
        <v>36</v>
      </c>
      <c r="C96" t="s">
        <v>16</v>
      </c>
      <c r="D96" t="s">
        <v>32</v>
      </c>
      <c r="E96" t="s">
        <v>13</v>
      </c>
      <c r="F96">
        <v>87</v>
      </c>
      <c r="G96">
        <v>96532.96</v>
      </c>
      <c r="H96">
        <v>7</v>
      </c>
      <c r="I96">
        <v>93</v>
      </c>
      <c r="J96" t="s">
        <v>239</v>
      </c>
    </row>
    <row r="97" spans="1:10" x14ac:dyDescent="0.25">
      <c r="A97" t="s">
        <v>193</v>
      </c>
      <c r="B97" t="s">
        <v>15</v>
      </c>
      <c r="C97" t="s">
        <v>41</v>
      </c>
      <c r="D97" t="s">
        <v>32</v>
      </c>
      <c r="E97" t="s">
        <v>29</v>
      </c>
      <c r="F97">
        <v>49</v>
      </c>
      <c r="G97">
        <v>126056.09</v>
      </c>
      <c r="H97">
        <v>11</v>
      </c>
      <c r="I97">
        <v>78</v>
      </c>
      <c r="J97" t="s">
        <v>239</v>
      </c>
    </row>
    <row r="98" spans="1:10" x14ac:dyDescent="0.25">
      <c r="A98" t="s">
        <v>194</v>
      </c>
      <c r="B98" t="s">
        <v>36</v>
      </c>
      <c r="C98" t="s">
        <v>41</v>
      </c>
      <c r="D98" t="s">
        <v>32</v>
      </c>
      <c r="E98" t="s">
        <v>29</v>
      </c>
      <c r="F98">
        <v>42</v>
      </c>
      <c r="G98">
        <v>92788.13</v>
      </c>
      <c r="H98">
        <v>4</v>
      </c>
      <c r="I98">
        <v>41</v>
      </c>
      <c r="J98" t="s">
        <v>239</v>
      </c>
    </row>
    <row r="99" spans="1:10" x14ac:dyDescent="0.25">
      <c r="A99" t="s">
        <v>197</v>
      </c>
      <c r="B99" t="s">
        <v>10</v>
      </c>
      <c r="C99" t="s">
        <v>16</v>
      </c>
      <c r="D99" t="s">
        <v>12</v>
      </c>
      <c r="E99" t="s">
        <v>18</v>
      </c>
      <c r="F99">
        <v>39</v>
      </c>
      <c r="G99">
        <v>84065.42</v>
      </c>
      <c r="H99">
        <v>28</v>
      </c>
      <c r="I99">
        <v>50</v>
      </c>
      <c r="J99" t="s">
        <v>239</v>
      </c>
    </row>
    <row r="100" spans="1:10" x14ac:dyDescent="0.25">
      <c r="A100" t="s">
        <v>198</v>
      </c>
      <c r="B100" t="s">
        <v>10</v>
      </c>
      <c r="C100" t="s">
        <v>41</v>
      </c>
      <c r="D100" t="s">
        <v>12</v>
      </c>
      <c r="E100" t="s">
        <v>29</v>
      </c>
      <c r="F100">
        <v>42</v>
      </c>
      <c r="G100">
        <v>83047.11</v>
      </c>
      <c r="H100">
        <v>13</v>
      </c>
      <c r="I100">
        <v>50</v>
      </c>
      <c r="J100" t="s">
        <v>239</v>
      </c>
    </row>
    <row r="101" spans="1:10" x14ac:dyDescent="0.25">
      <c r="A101" t="s">
        <v>199</v>
      </c>
      <c r="B101" t="s">
        <v>10</v>
      </c>
      <c r="C101" t="s">
        <v>11</v>
      </c>
      <c r="D101" t="s">
        <v>26</v>
      </c>
      <c r="E101" t="s">
        <v>29</v>
      </c>
      <c r="F101">
        <v>59</v>
      </c>
      <c r="G101">
        <v>96326.11</v>
      </c>
      <c r="H101">
        <v>17</v>
      </c>
      <c r="I101">
        <v>82</v>
      </c>
      <c r="J101" t="s">
        <v>239</v>
      </c>
    </row>
    <row r="102" spans="1:10" x14ac:dyDescent="0.25">
      <c r="A102" t="s">
        <v>202</v>
      </c>
      <c r="B102" t="s">
        <v>31</v>
      </c>
      <c r="C102" t="s">
        <v>28</v>
      </c>
      <c r="D102" t="s">
        <v>12</v>
      </c>
      <c r="E102" t="s">
        <v>13</v>
      </c>
      <c r="F102">
        <v>3</v>
      </c>
      <c r="G102">
        <v>149013.84</v>
      </c>
      <c r="H102">
        <v>26</v>
      </c>
      <c r="I102">
        <v>93</v>
      </c>
      <c r="J102" t="s">
        <v>239</v>
      </c>
    </row>
    <row r="103" spans="1:10" x14ac:dyDescent="0.25">
      <c r="A103" t="s">
        <v>209</v>
      </c>
      <c r="B103" t="s">
        <v>22</v>
      </c>
      <c r="C103" t="s">
        <v>28</v>
      </c>
      <c r="D103" t="s">
        <v>17</v>
      </c>
      <c r="E103" t="s">
        <v>18</v>
      </c>
      <c r="F103">
        <v>54</v>
      </c>
      <c r="G103">
        <v>118241.71</v>
      </c>
      <c r="H103">
        <v>24</v>
      </c>
      <c r="I103">
        <v>81</v>
      </c>
      <c r="J103" t="s">
        <v>239</v>
      </c>
    </row>
    <row r="104" spans="1:10" x14ac:dyDescent="0.25">
      <c r="A104" t="s">
        <v>211</v>
      </c>
      <c r="B104" t="s">
        <v>36</v>
      </c>
      <c r="C104" t="s">
        <v>28</v>
      </c>
      <c r="D104" t="s">
        <v>23</v>
      </c>
      <c r="E104" t="s">
        <v>13</v>
      </c>
      <c r="F104">
        <v>77</v>
      </c>
      <c r="G104">
        <v>114541.22</v>
      </c>
      <c r="H104">
        <v>25</v>
      </c>
      <c r="I104">
        <v>69</v>
      </c>
      <c r="J104" t="s">
        <v>239</v>
      </c>
    </row>
    <row r="105" spans="1:10" x14ac:dyDescent="0.25">
      <c r="A105" t="s">
        <v>216</v>
      </c>
      <c r="B105" t="s">
        <v>15</v>
      </c>
      <c r="C105" t="s">
        <v>16</v>
      </c>
      <c r="D105" t="s">
        <v>32</v>
      </c>
      <c r="E105" t="s">
        <v>13</v>
      </c>
      <c r="F105">
        <v>70</v>
      </c>
      <c r="G105">
        <v>92629.07</v>
      </c>
      <c r="H105">
        <v>11</v>
      </c>
      <c r="I105">
        <v>96</v>
      </c>
      <c r="J105" t="s">
        <v>239</v>
      </c>
    </row>
    <row r="106" spans="1:10" x14ac:dyDescent="0.25">
      <c r="A106" t="s">
        <v>218</v>
      </c>
      <c r="B106" t="s">
        <v>22</v>
      </c>
      <c r="C106" t="s">
        <v>16</v>
      </c>
      <c r="D106" t="s">
        <v>12</v>
      </c>
      <c r="E106" t="s">
        <v>13</v>
      </c>
      <c r="F106">
        <v>62</v>
      </c>
      <c r="G106">
        <v>132120.79</v>
      </c>
      <c r="H106">
        <v>25</v>
      </c>
      <c r="I106">
        <v>81</v>
      </c>
      <c r="J106" t="s">
        <v>239</v>
      </c>
    </row>
    <row r="107" spans="1:10" x14ac:dyDescent="0.25">
      <c r="A107" t="s">
        <v>219</v>
      </c>
      <c r="B107" t="s">
        <v>22</v>
      </c>
      <c r="C107" t="s">
        <v>16</v>
      </c>
      <c r="D107" t="s">
        <v>26</v>
      </c>
      <c r="E107" t="s">
        <v>18</v>
      </c>
      <c r="F107">
        <v>22</v>
      </c>
      <c r="G107">
        <v>132726.88</v>
      </c>
      <c r="H107">
        <v>24</v>
      </c>
      <c r="I107">
        <v>54</v>
      </c>
      <c r="J107" t="s">
        <v>239</v>
      </c>
    </row>
    <row r="108" spans="1:10" x14ac:dyDescent="0.25">
      <c r="A108" t="s">
        <v>222</v>
      </c>
      <c r="B108" t="s">
        <v>22</v>
      </c>
      <c r="C108" t="s">
        <v>16</v>
      </c>
      <c r="D108" t="s">
        <v>32</v>
      </c>
      <c r="E108" t="s">
        <v>29</v>
      </c>
      <c r="F108">
        <v>1</v>
      </c>
      <c r="G108">
        <v>87386.12</v>
      </c>
      <c r="H108">
        <v>14</v>
      </c>
      <c r="I108">
        <v>63</v>
      </c>
      <c r="J108" t="s">
        <v>239</v>
      </c>
    </row>
    <row r="109" spans="1:10" x14ac:dyDescent="0.25">
      <c r="A109" t="s">
        <v>226</v>
      </c>
      <c r="B109" t="s">
        <v>36</v>
      </c>
      <c r="C109" t="s">
        <v>41</v>
      </c>
      <c r="D109" t="s">
        <v>23</v>
      </c>
      <c r="E109" t="s">
        <v>13</v>
      </c>
      <c r="F109">
        <v>39</v>
      </c>
      <c r="G109">
        <v>145631.91</v>
      </c>
      <c r="H109">
        <v>6</v>
      </c>
      <c r="I109">
        <v>49</v>
      </c>
      <c r="J109" t="s">
        <v>239</v>
      </c>
    </row>
    <row r="110" spans="1:10" x14ac:dyDescent="0.25">
      <c r="A110" t="s">
        <v>9</v>
      </c>
      <c r="B110" t="s">
        <v>10</v>
      </c>
      <c r="C110" t="s">
        <v>11</v>
      </c>
      <c r="D110" t="s">
        <v>12</v>
      </c>
      <c r="E110" t="s">
        <v>13</v>
      </c>
      <c r="F110">
        <v>12</v>
      </c>
      <c r="G110">
        <v>68632.97</v>
      </c>
      <c r="H110">
        <v>21</v>
      </c>
      <c r="I110">
        <v>82</v>
      </c>
      <c r="J110" t="s">
        <v>240</v>
      </c>
    </row>
    <row r="111" spans="1:10" x14ac:dyDescent="0.25">
      <c r="A111" t="s">
        <v>14</v>
      </c>
      <c r="B111" t="s">
        <v>15</v>
      </c>
      <c r="C111" t="s">
        <v>16</v>
      </c>
      <c r="D111" t="s">
        <v>17</v>
      </c>
      <c r="E111" t="s">
        <v>18</v>
      </c>
      <c r="F111">
        <v>52</v>
      </c>
      <c r="G111">
        <v>10231.42</v>
      </c>
      <c r="H111">
        <v>20</v>
      </c>
      <c r="I111">
        <v>42</v>
      </c>
      <c r="J111" t="s">
        <v>240</v>
      </c>
    </row>
    <row r="112" spans="1:10" x14ac:dyDescent="0.25">
      <c r="A112" t="s">
        <v>19</v>
      </c>
      <c r="B112" t="s">
        <v>15</v>
      </c>
      <c r="C112" t="s">
        <v>11</v>
      </c>
      <c r="D112" t="s">
        <v>12</v>
      </c>
      <c r="E112" t="s">
        <v>18</v>
      </c>
      <c r="F112">
        <v>79</v>
      </c>
      <c r="G112">
        <v>10160.24</v>
      </c>
      <c r="H112">
        <v>2</v>
      </c>
      <c r="I112">
        <v>72</v>
      </c>
      <c r="J112" t="s">
        <v>240</v>
      </c>
    </row>
    <row r="113" spans="1:10" x14ac:dyDescent="0.25">
      <c r="A113" t="s">
        <v>27</v>
      </c>
      <c r="B113" t="s">
        <v>25</v>
      </c>
      <c r="C113" t="s">
        <v>28</v>
      </c>
      <c r="D113" t="s">
        <v>17</v>
      </c>
      <c r="E113" t="s">
        <v>29</v>
      </c>
      <c r="F113">
        <v>30</v>
      </c>
      <c r="G113">
        <v>54393.48</v>
      </c>
      <c r="H113">
        <v>1</v>
      </c>
      <c r="I113">
        <v>42</v>
      </c>
      <c r="J113" t="s">
        <v>240</v>
      </c>
    </row>
    <row r="114" spans="1:10" x14ac:dyDescent="0.25">
      <c r="A114" t="s">
        <v>30</v>
      </c>
      <c r="B114" t="s">
        <v>31</v>
      </c>
      <c r="C114" t="s">
        <v>28</v>
      </c>
      <c r="D114" t="s">
        <v>32</v>
      </c>
      <c r="E114" t="s">
        <v>29</v>
      </c>
      <c r="F114">
        <v>68</v>
      </c>
      <c r="G114">
        <v>30452.22</v>
      </c>
      <c r="H114">
        <v>6</v>
      </c>
      <c r="I114">
        <v>77</v>
      </c>
      <c r="J114" t="s">
        <v>240</v>
      </c>
    </row>
    <row r="115" spans="1:10" x14ac:dyDescent="0.25">
      <c r="A115" t="s">
        <v>38</v>
      </c>
      <c r="B115" t="s">
        <v>25</v>
      </c>
      <c r="C115" t="s">
        <v>28</v>
      </c>
      <c r="D115" t="s">
        <v>32</v>
      </c>
      <c r="E115" t="s">
        <v>13</v>
      </c>
      <c r="F115">
        <v>65</v>
      </c>
      <c r="G115">
        <v>20591.650000000001</v>
      </c>
      <c r="H115">
        <v>28</v>
      </c>
      <c r="I115">
        <v>52</v>
      </c>
      <c r="J115" t="s">
        <v>240</v>
      </c>
    </row>
    <row r="116" spans="1:10" x14ac:dyDescent="0.25">
      <c r="A116" t="s">
        <v>39</v>
      </c>
      <c r="B116" t="s">
        <v>10</v>
      </c>
      <c r="C116" t="s">
        <v>28</v>
      </c>
      <c r="D116" t="s">
        <v>12</v>
      </c>
      <c r="E116" t="s">
        <v>13</v>
      </c>
      <c r="F116">
        <v>13</v>
      </c>
      <c r="G116">
        <v>59149.07</v>
      </c>
      <c r="H116">
        <v>19</v>
      </c>
      <c r="I116">
        <v>86</v>
      </c>
      <c r="J116" t="s">
        <v>240</v>
      </c>
    </row>
    <row r="117" spans="1:10" x14ac:dyDescent="0.25">
      <c r="A117" t="s">
        <v>40</v>
      </c>
      <c r="B117" t="s">
        <v>10</v>
      </c>
      <c r="C117" t="s">
        <v>41</v>
      </c>
      <c r="D117" t="s">
        <v>26</v>
      </c>
      <c r="E117" t="s">
        <v>18</v>
      </c>
      <c r="F117">
        <v>39</v>
      </c>
      <c r="G117">
        <v>59335.72</v>
      </c>
      <c r="H117">
        <v>28</v>
      </c>
      <c r="I117">
        <v>80</v>
      </c>
      <c r="J117" t="s">
        <v>240</v>
      </c>
    </row>
    <row r="118" spans="1:10" x14ac:dyDescent="0.25">
      <c r="A118" t="s">
        <v>45</v>
      </c>
      <c r="B118" t="s">
        <v>15</v>
      </c>
      <c r="C118" t="s">
        <v>41</v>
      </c>
      <c r="D118" t="s">
        <v>23</v>
      </c>
      <c r="E118" t="s">
        <v>18</v>
      </c>
      <c r="F118">
        <v>1</v>
      </c>
      <c r="G118">
        <v>43174.44</v>
      </c>
      <c r="H118">
        <v>24</v>
      </c>
      <c r="I118">
        <v>100</v>
      </c>
      <c r="J118" t="s">
        <v>240</v>
      </c>
    </row>
    <row r="119" spans="1:10" x14ac:dyDescent="0.25">
      <c r="A119" t="s">
        <v>47</v>
      </c>
      <c r="B119" t="s">
        <v>15</v>
      </c>
      <c r="C119" t="s">
        <v>11</v>
      </c>
      <c r="D119" t="s">
        <v>26</v>
      </c>
      <c r="E119" t="s">
        <v>18</v>
      </c>
      <c r="F119">
        <v>31</v>
      </c>
      <c r="G119">
        <v>51842.34</v>
      </c>
      <c r="H119">
        <v>15</v>
      </c>
      <c r="I119">
        <v>74</v>
      </c>
      <c r="J119" t="s">
        <v>240</v>
      </c>
    </row>
    <row r="120" spans="1:10" x14ac:dyDescent="0.25">
      <c r="A120" t="s">
        <v>48</v>
      </c>
      <c r="B120" t="s">
        <v>36</v>
      </c>
      <c r="C120" t="s">
        <v>11</v>
      </c>
      <c r="D120" t="s">
        <v>26</v>
      </c>
      <c r="E120" t="s">
        <v>18</v>
      </c>
      <c r="F120">
        <v>66</v>
      </c>
      <c r="G120">
        <v>30547.73</v>
      </c>
      <c r="H120">
        <v>11</v>
      </c>
      <c r="I120">
        <v>47</v>
      </c>
      <c r="J120" t="s">
        <v>240</v>
      </c>
    </row>
    <row r="121" spans="1:10" x14ac:dyDescent="0.25">
      <c r="A121" t="s">
        <v>49</v>
      </c>
      <c r="B121" t="s">
        <v>22</v>
      </c>
      <c r="C121" t="s">
        <v>11</v>
      </c>
      <c r="D121" t="s">
        <v>32</v>
      </c>
      <c r="E121" t="s">
        <v>18</v>
      </c>
      <c r="F121">
        <v>68</v>
      </c>
      <c r="G121">
        <v>68961.679999999993</v>
      </c>
      <c r="H121">
        <v>5</v>
      </c>
      <c r="I121">
        <v>67</v>
      </c>
      <c r="J121" t="s">
        <v>240</v>
      </c>
    </row>
    <row r="122" spans="1:10" x14ac:dyDescent="0.25">
      <c r="A122" t="s">
        <v>51</v>
      </c>
      <c r="B122" t="s">
        <v>15</v>
      </c>
      <c r="C122" t="s">
        <v>16</v>
      </c>
      <c r="D122" t="s">
        <v>12</v>
      </c>
      <c r="E122" t="s">
        <v>18</v>
      </c>
      <c r="F122">
        <v>35</v>
      </c>
      <c r="G122">
        <v>54350.5</v>
      </c>
      <c r="H122">
        <v>24</v>
      </c>
      <c r="I122">
        <v>70</v>
      </c>
      <c r="J122" t="s">
        <v>240</v>
      </c>
    </row>
    <row r="123" spans="1:10" x14ac:dyDescent="0.25">
      <c r="A123" t="s">
        <v>52</v>
      </c>
      <c r="B123" t="s">
        <v>31</v>
      </c>
      <c r="C123" t="s">
        <v>11</v>
      </c>
      <c r="D123" t="s">
        <v>23</v>
      </c>
      <c r="E123" t="s">
        <v>18</v>
      </c>
      <c r="F123">
        <v>56</v>
      </c>
      <c r="G123">
        <v>47635.12</v>
      </c>
      <c r="H123">
        <v>3</v>
      </c>
      <c r="I123">
        <v>47</v>
      </c>
      <c r="J123" t="s">
        <v>240</v>
      </c>
    </row>
    <row r="124" spans="1:10" x14ac:dyDescent="0.25">
      <c r="A124" t="s">
        <v>55</v>
      </c>
      <c r="B124" t="s">
        <v>10</v>
      </c>
      <c r="C124" t="s">
        <v>41</v>
      </c>
      <c r="D124" t="s">
        <v>26</v>
      </c>
      <c r="E124" t="s">
        <v>18</v>
      </c>
      <c r="F124">
        <v>25</v>
      </c>
      <c r="G124">
        <v>38676.85</v>
      </c>
      <c r="H124">
        <v>9</v>
      </c>
      <c r="I124">
        <v>70</v>
      </c>
      <c r="J124" t="s">
        <v>240</v>
      </c>
    </row>
    <row r="125" spans="1:10" x14ac:dyDescent="0.25">
      <c r="A125" t="s">
        <v>56</v>
      </c>
      <c r="B125" t="s">
        <v>10</v>
      </c>
      <c r="C125" t="s">
        <v>41</v>
      </c>
      <c r="D125" t="s">
        <v>32</v>
      </c>
      <c r="E125" t="s">
        <v>29</v>
      </c>
      <c r="F125">
        <v>86</v>
      </c>
      <c r="G125">
        <v>35788.22</v>
      </c>
      <c r="H125">
        <v>3</v>
      </c>
      <c r="I125">
        <v>66</v>
      </c>
      <c r="J125" t="s">
        <v>240</v>
      </c>
    </row>
    <row r="126" spans="1:10" x14ac:dyDescent="0.25">
      <c r="A126" t="s">
        <v>60</v>
      </c>
      <c r="B126" t="s">
        <v>22</v>
      </c>
      <c r="C126" t="s">
        <v>11</v>
      </c>
      <c r="D126" t="s">
        <v>12</v>
      </c>
      <c r="E126" t="s">
        <v>29</v>
      </c>
      <c r="F126">
        <v>58</v>
      </c>
      <c r="G126">
        <v>41426.04</v>
      </c>
      <c r="H126">
        <v>6</v>
      </c>
      <c r="I126">
        <v>67</v>
      </c>
      <c r="J126" t="s">
        <v>240</v>
      </c>
    </row>
    <row r="127" spans="1:10" x14ac:dyDescent="0.25">
      <c r="A127" t="s">
        <v>62</v>
      </c>
      <c r="B127" t="s">
        <v>10</v>
      </c>
      <c r="C127" t="s">
        <v>16</v>
      </c>
      <c r="D127" t="s">
        <v>32</v>
      </c>
      <c r="E127" t="s">
        <v>13</v>
      </c>
      <c r="F127">
        <v>5</v>
      </c>
      <c r="G127">
        <v>48581.36</v>
      </c>
      <c r="H127">
        <v>16</v>
      </c>
      <c r="I127">
        <v>40</v>
      </c>
      <c r="J127" t="s">
        <v>240</v>
      </c>
    </row>
    <row r="128" spans="1:10" x14ac:dyDescent="0.25">
      <c r="A128" t="s">
        <v>64</v>
      </c>
      <c r="B128" t="s">
        <v>15</v>
      </c>
      <c r="C128" t="s">
        <v>11</v>
      </c>
      <c r="D128" t="s">
        <v>17</v>
      </c>
      <c r="E128" t="s">
        <v>18</v>
      </c>
      <c r="F128">
        <v>3</v>
      </c>
      <c r="G128">
        <v>50045.440000000002</v>
      </c>
      <c r="H128">
        <v>15</v>
      </c>
      <c r="I128">
        <v>84</v>
      </c>
      <c r="J128" t="s">
        <v>240</v>
      </c>
    </row>
    <row r="129" spans="1:10" x14ac:dyDescent="0.25">
      <c r="A129" t="s">
        <v>66</v>
      </c>
      <c r="B129" t="s">
        <v>15</v>
      </c>
      <c r="C129" t="s">
        <v>41</v>
      </c>
      <c r="D129" t="s">
        <v>23</v>
      </c>
      <c r="E129" t="s">
        <v>18</v>
      </c>
      <c r="F129">
        <v>14</v>
      </c>
      <c r="G129">
        <v>9067.3799999999992</v>
      </c>
      <c r="H129">
        <v>28</v>
      </c>
      <c r="I129">
        <v>86</v>
      </c>
      <c r="J129" t="s">
        <v>240</v>
      </c>
    </row>
    <row r="130" spans="1:10" x14ac:dyDescent="0.25">
      <c r="A130" t="s">
        <v>72</v>
      </c>
      <c r="B130" t="s">
        <v>10</v>
      </c>
      <c r="C130" t="s">
        <v>28</v>
      </c>
      <c r="D130" t="s">
        <v>12</v>
      </c>
      <c r="E130" t="s">
        <v>29</v>
      </c>
      <c r="F130">
        <v>19</v>
      </c>
      <c r="G130">
        <v>21826.12</v>
      </c>
      <c r="H130">
        <v>17</v>
      </c>
      <c r="I130">
        <v>48</v>
      </c>
      <c r="J130" t="s">
        <v>240</v>
      </c>
    </row>
    <row r="131" spans="1:10" x14ac:dyDescent="0.25">
      <c r="A131" t="s">
        <v>74</v>
      </c>
      <c r="B131" t="s">
        <v>36</v>
      </c>
      <c r="C131" t="s">
        <v>28</v>
      </c>
      <c r="D131" t="s">
        <v>26</v>
      </c>
      <c r="E131" t="s">
        <v>18</v>
      </c>
      <c r="F131">
        <v>30</v>
      </c>
      <c r="G131">
        <v>53806.86</v>
      </c>
      <c r="H131">
        <v>21</v>
      </c>
      <c r="I131">
        <v>82</v>
      </c>
      <c r="J131" t="s">
        <v>240</v>
      </c>
    </row>
    <row r="132" spans="1:10" x14ac:dyDescent="0.25">
      <c r="A132" t="s">
        <v>76</v>
      </c>
      <c r="B132" t="s">
        <v>10</v>
      </c>
      <c r="C132" t="s">
        <v>28</v>
      </c>
      <c r="D132" t="s">
        <v>12</v>
      </c>
      <c r="E132" t="s">
        <v>18</v>
      </c>
      <c r="F132">
        <v>22</v>
      </c>
      <c r="G132">
        <v>46384.67</v>
      </c>
      <c r="H132">
        <v>3</v>
      </c>
      <c r="I132">
        <v>84</v>
      </c>
      <c r="J132" t="s">
        <v>240</v>
      </c>
    </row>
    <row r="133" spans="1:10" x14ac:dyDescent="0.25">
      <c r="A133" t="s">
        <v>78</v>
      </c>
      <c r="B133" t="s">
        <v>31</v>
      </c>
      <c r="C133" t="s">
        <v>16</v>
      </c>
      <c r="D133" t="s">
        <v>12</v>
      </c>
      <c r="E133" t="s">
        <v>29</v>
      </c>
      <c r="F133">
        <v>35</v>
      </c>
      <c r="G133">
        <v>73863.679999999993</v>
      </c>
      <c r="H133">
        <v>17</v>
      </c>
      <c r="I133">
        <v>42</v>
      </c>
      <c r="J133" t="s">
        <v>240</v>
      </c>
    </row>
    <row r="134" spans="1:10" x14ac:dyDescent="0.25">
      <c r="A134" t="s">
        <v>80</v>
      </c>
      <c r="B134" t="s">
        <v>31</v>
      </c>
      <c r="C134" t="s">
        <v>28</v>
      </c>
      <c r="D134" t="s">
        <v>17</v>
      </c>
      <c r="E134" t="s">
        <v>29</v>
      </c>
      <c r="F134">
        <v>51</v>
      </c>
      <c r="G134">
        <v>59829.99</v>
      </c>
      <c r="H134">
        <v>2</v>
      </c>
      <c r="I134">
        <v>40</v>
      </c>
      <c r="J134" t="s">
        <v>240</v>
      </c>
    </row>
    <row r="135" spans="1:10" x14ac:dyDescent="0.25">
      <c r="A135" t="s">
        <v>81</v>
      </c>
      <c r="B135" t="s">
        <v>31</v>
      </c>
      <c r="C135" t="s">
        <v>28</v>
      </c>
      <c r="D135" t="s">
        <v>32</v>
      </c>
      <c r="E135" t="s">
        <v>13</v>
      </c>
      <c r="F135">
        <v>87</v>
      </c>
      <c r="G135">
        <v>5444.8</v>
      </c>
      <c r="H135">
        <v>5</v>
      </c>
      <c r="I135">
        <v>42</v>
      </c>
      <c r="J135" t="s">
        <v>240</v>
      </c>
    </row>
    <row r="136" spans="1:10" x14ac:dyDescent="0.25">
      <c r="A136" t="s">
        <v>82</v>
      </c>
      <c r="B136" t="s">
        <v>25</v>
      </c>
      <c r="C136" t="s">
        <v>11</v>
      </c>
      <c r="D136" t="s">
        <v>17</v>
      </c>
      <c r="E136" t="s">
        <v>18</v>
      </c>
      <c r="F136">
        <v>11</v>
      </c>
      <c r="G136">
        <v>39022.85</v>
      </c>
      <c r="H136">
        <v>8</v>
      </c>
      <c r="I136">
        <v>96</v>
      </c>
      <c r="J136" t="s">
        <v>240</v>
      </c>
    </row>
    <row r="137" spans="1:10" x14ac:dyDescent="0.25">
      <c r="A137" t="s">
        <v>86</v>
      </c>
      <c r="B137" t="s">
        <v>10</v>
      </c>
      <c r="C137" t="s">
        <v>41</v>
      </c>
      <c r="D137" t="s">
        <v>12</v>
      </c>
      <c r="E137" t="s">
        <v>18</v>
      </c>
      <c r="F137">
        <v>7</v>
      </c>
      <c r="G137">
        <v>66277.52</v>
      </c>
      <c r="H137">
        <v>26</v>
      </c>
      <c r="I137">
        <v>69</v>
      </c>
      <c r="J137" t="s">
        <v>240</v>
      </c>
    </row>
    <row r="138" spans="1:10" x14ac:dyDescent="0.25">
      <c r="A138" t="s">
        <v>87</v>
      </c>
      <c r="B138" t="s">
        <v>22</v>
      </c>
      <c r="C138" t="s">
        <v>11</v>
      </c>
      <c r="D138" t="s">
        <v>32</v>
      </c>
      <c r="E138" t="s">
        <v>13</v>
      </c>
      <c r="F138">
        <v>14</v>
      </c>
      <c r="G138">
        <v>12241.3</v>
      </c>
      <c r="H138">
        <v>20</v>
      </c>
      <c r="I138">
        <v>40</v>
      </c>
      <c r="J138" t="s">
        <v>240</v>
      </c>
    </row>
    <row r="139" spans="1:10" x14ac:dyDescent="0.25">
      <c r="A139" t="s">
        <v>90</v>
      </c>
      <c r="B139" t="s">
        <v>31</v>
      </c>
      <c r="C139" t="s">
        <v>16</v>
      </c>
      <c r="D139" t="s">
        <v>12</v>
      </c>
      <c r="E139" t="s">
        <v>29</v>
      </c>
      <c r="F139">
        <v>5</v>
      </c>
      <c r="G139">
        <v>74239.37</v>
      </c>
      <c r="H139">
        <v>7</v>
      </c>
      <c r="I139">
        <v>61</v>
      </c>
      <c r="J139" t="s">
        <v>240</v>
      </c>
    </row>
    <row r="140" spans="1:10" x14ac:dyDescent="0.25">
      <c r="A140" t="s">
        <v>92</v>
      </c>
      <c r="B140" t="s">
        <v>10</v>
      </c>
      <c r="C140" t="s">
        <v>11</v>
      </c>
      <c r="D140" t="s">
        <v>23</v>
      </c>
      <c r="E140" t="s">
        <v>13</v>
      </c>
      <c r="F140">
        <v>4</v>
      </c>
      <c r="G140">
        <v>66339.33</v>
      </c>
      <c r="H140">
        <v>5</v>
      </c>
      <c r="I140">
        <v>77</v>
      </c>
      <c r="J140" t="s">
        <v>240</v>
      </c>
    </row>
    <row r="141" spans="1:10" x14ac:dyDescent="0.25">
      <c r="A141" t="s">
        <v>94</v>
      </c>
      <c r="B141" t="s">
        <v>10</v>
      </c>
      <c r="C141" t="s">
        <v>16</v>
      </c>
      <c r="D141" t="s">
        <v>32</v>
      </c>
      <c r="E141" t="s">
        <v>13</v>
      </c>
      <c r="F141">
        <v>11</v>
      </c>
      <c r="G141">
        <v>24492.09</v>
      </c>
      <c r="H141">
        <v>8</v>
      </c>
      <c r="I141">
        <v>58</v>
      </c>
      <c r="J141" t="s">
        <v>240</v>
      </c>
    </row>
    <row r="142" spans="1:10" x14ac:dyDescent="0.25">
      <c r="A142" t="s">
        <v>95</v>
      </c>
      <c r="B142" t="s">
        <v>25</v>
      </c>
      <c r="C142" t="s">
        <v>16</v>
      </c>
      <c r="D142" t="s">
        <v>32</v>
      </c>
      <c r="E142" t="s">
        <v>13</v>
      </c>
      <c r="F142">
        <v>19</v>
      </c>
      <c r="G142">
        <v>42080.85</v>
      </c>
      <c r="H142">
        <v>29</v>
      </c>
      <c r="I142">
        <v>65</v>
      </c>
      <c r="J142" t="s">
        <v>240</v>
      </c>
    </row>
    <row r="143" spans="1:10" x14ac:dyDescent="0.25">
      <c r="A143" t="s">
        <v>98</v>
      </c>
      <c r="B143" t="s">
        <v>36</v>
      </c>
      <c r="C143" t="s">
        <v>41</v>
      </c>
      <c r="D143" t="s">
        <v>17</v>
      </c>
      <c r="E143" t="s">
        <v>18</v>
      </c>
      <c r="F143">
        <v>6</v>
      </c>
      <c r="G143">
        <v>22175.37</v>
      </c>
      <c r="H143">
        <v>17</v>
      </c>
      <c r="I143">
        <v>82</v>
      </c>
      <c r="J143" t="s">
        <v>240</v>
      </c>
    </row>
    <row r="144" spans="1:10" x14ac:dyDescent="0.25">
      <c r="A144" t="s">
        <v>99</v>
      </c>
      <c r="B144" t="s">
        <v>31</v>
      </c>
      <c r="C144" t="s">
        <v>28</v>
      </c>
      <c r="D144" t="s">
        <v>12</v>
      </c>
      <c r="E144" t="s">
        <v>29</v>
      </c>
      <c r="F144">
        <v>62</v>
      </c>
      <c r="G144">
        <v>16296.15</v>
      </c>
      <c r="H144">
        <v>28</v>
      </c>
      <c r="I144">
        <v>63</v>
      </c>
      <c r="J144" t="s">
        <v>240</v>
      </c>
    </row>
    <row r="145" spans="1:10" x14ac:dyDescent="0.25">
      <c r="A145" t="s">
        <v>102</v>
      </c>
      <c r="B145" t="s">
        <v>22</v>
      </c>
      <c r="C145" t="s">
        <v>16</v>
      </c>
      <c r="D145" t="s">
        <v>23</v>
      </c>
      <c r="E145" t="s">
        <v>18</v>
      </c>
      <c r="F145">
        <v>62</v>
      </c>
      <c r="G145">
        <v>27610.65</v>
      </c>
      <c r="H145">
        <v>26</v>
      </c>
      <c r="I145">
        <v>72</v>
      </c>
      <c r="J145" t="s">
        <v>240</v>
      </c>
    </row>
    <row r="146" spans="1:10" x14ac:dyDescent="0.25">
      <c r="A146" t="s">
        <v>104</v>
      </c>
      <c r="B146" t="s">
        <v>22</v>
      </c>
      <c r="C146" t="s">
        <v>11</v>
      </c>
      <c r="D146" t="s">
        <v>23</v>
      </c>
      <c r="E146" t="s">
        <v>29</v>
      </c>
      <c r="F146">
        <v>7</v>
      </c>
      <c r="G146">
        <v>23799.83</v>
      </c>
      <c r="H146">
        <v>26</v>
      </c>
      <c r="I146">
        <v>52</v>
      </c>
      <c r="J146" t="s">
        <v>240</v>
      </c>
    </row>
    <row r="147" spans="1:10" x14ac:dyDescent="0.25">
      <c r="A147" t="s">
        <v>106</v>
      </c>
      <c r="B147" t="s">
        <v>36</v>
      </c>
      <c r="C147" t="s">
        <v>11</v>
      </c>
      <c r="D147" t="s">
        <v>32</v>
      </c>
      <c r="E147" t="s">
        <v>29</v>
      </c>
      <c r="F147">
        <v>12</v>
      </c>
      <c r="G147">
        <v>69472.05</v>
      </c>
      <c r="H147">
        <v>11</v>
      </c>
      <c r="I147">
        <v>68</v>
      </c>
      <c r="J147" t="s">
        <v>240</v>
      </c>
    </row>
    <row r="148" spans="1:10" x14ac:dyDescent="0.25">
      <c r="A148" t="s">
        <v>107</v>
      </c>
      <c r="B148" t="s">
        <v>25</v>
      </c>
      <c r="C148" t="s">
        <v>11</v>
      </c>
      <c r="D148" t="s">
        <v>32</v>
      </c>
      <c r="E148" t="s">
        <v>13</v>
      </c>
      <c r="F148">
        <v>5</v>
      </c>
      <c r="G148">
        <v>64103.040000000001</v>
      </c>
      <c r="H148">
        <v>14</v>
      </c>
      <c r="I148">
        <v>42</v>
      </c>
      <c r="J148" t="s">
        <v>240</v>
      </c>
    </row>
    <row r="149" spans="1:10" x14ac:dyDescent="0.25">
      <c r="A149" t="s">
        <v>109</v>
      </c>
      <c r="B149" t="s">
        <v>25</v>
      </c>
      <c r="C149" t="s">
        <v>11</v>
      </c>
      <c r="D149" t="s">
        <v>23</v>
      </c>
      <c r="E149" t="s">
        <v>13</v>
      </c>
      <c r="F149">
        <v>71</v>
      </c>
      <c r="G149">
        <v>11066.61</v>
      </c>
      <c r="H149">
        <v>17</v>
      </c>
      <c r="I149">
        <v>86</v>
      </c>
      <c r="J149" t="s">
        <v>240</v>
      </c>
    </row>
    <row r="150" spans="1:10" x14ac:dyDescent="0.25">
      <c r="A150" t="s">
        <v>110</v>
      </c>
      <c r="B150" t="s">
        <v>31</v>
      </c>
      <c r="C150" t="s">
        <v>16</v>
      </c>
      <c r="D150" t="s">
        <v>26</v>
      </c>
      <c r="E150" t="s">
        <v>13</v>
      </c>
      <c r="F150">
        <v>87</v>
      </c>
      <c r="G150">
        <v>36726.76</v>
      </c>
      <c r="H150">
        <v>4</v>
      </c>
      <c r="I150">
        <v>53</v>
      </c>
      <c r="J150" t="s">
        <v>240</v>
      </c>
    </row>
    <row r="151" spans="1:10" x14ac:dyDescent="0.25">
      <c r="A151" t="s">
        <v>111</v>
      </c>
      <c r="B151" t="s">
        <v>15</v>
      </c>
      <c r="C151" t="s">
        <v>16</v>
      </c>
      <c r="D151" t="s">
        <v>17</v>
      </c>
      <c r="E151" t="s">
        <v>29</v>
      </c>
      <c r="F151">
        <v>40</v>
      </c>
      <c r="G151">
        <v>19717.900000000001</v>
      </c>
      <c r="H151">
        <v>20</v>
      </c>
      <c r="I151">
        <v>63</v>
      </c>
      <c r="J151" t="s">
        <v>240</v>
      </c>
    </row>
    <row r="152" spans="1:10" x14ac:dyDescent="0.25">
      <c r="A152" t="s">
        <v>113</v>
      </c>
      <c r="B152" t="s">
        <v>15</v>
      </c>
      <c r="C152" t="s">
        <v>16</v>
      </c>
      <c r="D152" t="s">
        <v>17</v>
      </c>
      <c r="E152" t="s">
        <v>29</v>
      </c>
      <c r="F152">
        <v>1</v>
      </c>
      <c r="G152">
        <v>16874.009999999998</v>
      </c>
      <c r="H152">
        <v>14</v>
      </c>
      <c r="I152">
        <v>76</v>
      </c>
      <c r="J152" t="s">
        <v>240</v>
      </c>
    </row>
    <row r="153" spans="1:10" x14ac:dyDescent="0.25">
      <c r="A153" t="s">
        <v>114</v>
      </c>
      <c r="B153" t="s">
        <v>15</v>
      </c>
      <c r="C153" t="s">
        <v>41</v>
      </c>
      <c r="D153" t="s">
        <v>12</v>
      </c>
      <c r="E153" t="s">
        <v>18</v>
      </c>
      <c r="F153">
        <v>37</v>
      </c>
      <c r="G153">
        <v>8578.83</v>
      </c>
      <c r="H153">
        <v>2</v>
      </c>
      <c r="I153">
        <v>90</v>
      </c>
      <c r="J153" t="s">
        <v>240</v>
      </c>
    </row>
    <row r="154" spans="1:10" x14ac:dyDescent="0.25">
      <c r="A154" t="s">
        <v>115</v>
      </c>
      <c r="B154" t="s">
        <v>36</v>
      </c>
      <c r="C154" t="s">
        <v>11</v>
      </c>
      <c r="D154" t="s">
        <v>17</v>
      </c>
      <c r="E154" t="s">
        <v>18</v>
      </c>
      <c r="F154">
        <v>7</v>
      </c>
      <c r="G154">
        <v>22311.39</v>
      </c>
      <c r="H154">
        <v>14</v>
      </c>
      <c r="I154">
        <v>86</v>
      </c>
      <c r="J154" t="s">
        <v>240</v>
      </c>
    </row>
    <row r="155" spans="1:10" x14ac:dyDescent="0.25">
      <c r="A155" t="s">
        <v>118</v>
      </c>
      <c r="B155" t="s">
        <v>15</v>
      </c>
      <c r="C155" t="s">
        <v>11</v>
      </c>
      <c r="D155" t="s">
        <v>17</v>
      </c>
      <c r="E155" t="s">
        <v>29</v>
      </c>
      <c r="F155">
        <v>66</v>
      </c>
      <c r="G155">
        <v>54562.1</v>
      </c>
      <c r="H155">
        <v>21</v>
      </c>
      <c r="I155">
        <v>86</v>
      </c>
      <c r="J155" t="s">
        <v>240</v>
      </c>
    </row>
    <row r="156" spans="1:10" x14ac:dyDescent="0.25">
      <c r="A156" t="s">
        <v>121</v>
      </c>
      <c r="B156" t="s">
        <v>22</v>
      </c>
      <c r="C156" t="s">
        <v>16</v>
      </c>
      <c r="D156" t="s">
        <v>17</v>
      </c>
      <c r="E156" t="s">
        <v>29</v>
      </c>
      <c r="F156">
        <v>48</v>
      </c>
      <c r="G156">
        <v>19629.22</v>
      </c>
      <c r="H156">
        <v>2</v>
      </c>
      <c r="I156">
        <v>95</v>
      </c>
      <c r="J156" t="s">
        <v>240</v>
      </c>
    </row>
    <row r="157" spans="1:10" x14ac:dyDescent="0.25">
      <c r="A157" t="s">
        <v>122</v>
      </c>
      <c r="B157" t="s">
        <v>31</v>
      </c>
      <c r="C157" t="s">
        <v>28</v>
      </c>
      <c r="D157" t="s">
        <v>32</v>
      </c>
      <c r="E157" t="s">
        <v>13</v>
      </c>
      <c r="F157">
        <v>59</v>
      </c>
      <c r="G157">
        <v>73629.03</v>
      </c>
      <c r="H157">
        <v>10</v>
      </c>
      <c r="I157">
        <v>85</v>
      </c>
      <c r="J157" t="s">
        <v>240</v>
      </c>
    </row>
    <row r="158" spans="1:10" x14ac:dyDescent="0.25">
      <c r="A158" t="s">
        <v>127</v>
      </c>
      <c r="B158" t="s">
        <v>22</v>
      </c>
      <c r="C158" t="s">
        <v>28</v>
      </c>
      <c r="D158" t="s">
        <v>12</v>
      </c>
      <c r="E158" t="s">
        <v>13</v>
      </c>
      <c r="F158">
        <v>60</v>
      </c>
      <c r="G158">
        <v>49131.44</v>
      </c>
      <c r="H158">
        <v>2</v>
      </c>
      <c r="I158">
        <v>44</v>
      </c>
      <c r="J158" t="s">
        <v>240</v>
      </c>
    </row>
    <row r="159" spans="1:10" x14ac:dyDescent="0.25">
      <c r="A159" t="s">
        <v>128</v>
      </c>
      <c r="B159" t="s">
        <v>31</v>
      </c>
      <c r="C159" t="s">
        <v>11</v>
      </c>
      <c r="D159" t="s">
        <v>23</v>
      </c>
      <c r="E159" t="s">
        <v>29</v>
      </c>
      <c r="F159">
        <v>70</v>
      </c>
      <c r="G159">
        <v>58132.5</v>
      </c>
      <c r="H159">
        <v>25</v>
      </c>
      <c r="I159">
        <v>43</v>
      </c>
      <c r="J159" t="s">
        <v>240</v>
      </c>
    </row>
    <row r="160" spans="1:10" x14ac:dyDescent="0.25">
      <c r="A160" t="s">
        <v>130</v>
      </c>
      <c r="B160" t="s">
        <v>25</v>
      </c>
      <c r="C160" t="s">
        <v>28</v>
      </c>
      <c r="D160" t="s">
        <v>32</v>
      </c>
      <c r="E160" t="s">
        <v>29</v>
      </c>
      <c r="F160">
        <v>70</v>
      </c>
      <c r="G160">
        <v>14270.62</v>
      </c>
      <c r="H160">
        <v>24</v>
      </c>
      <c r="I160">
        <v>43</v>
      </c>
      <c r="J160" t="s">
        <v>240</v>
      </c>
    </row>
    <row r="161" spans="1:10" x14ac:dyDescent="0.25">
      <c r="A161" t="s">
        <v>133</v>
      </c>
      <c r="B161" t="s">
        <v>31</v>
      </c>
      <c r="C161" t="s">
        <v>28</v>
      </c>
      <c r="D161" t="s">
        <v>17</v>
      </c>
      <c r="E161" t="s">
        <v>29</v>
      </c>
      <c r="F161">
        <v>35</v>
      </c>
      <c r="G161">
        <v>36754.51</v>
      </c>
      <c r="H161">
        <v>27</v>
      </c>
      <c r="I161">
        <v>49</v>
      </c>
      <c r="J161" t="s">
        <v>240</v>
      </c>
    </row>
    <row r="162" spans="1:10" x14ac:dyDescent="0.25">
      <c r="A162" t="s">
        <v>134</v>
      </c>
      <c r="B162" t="s">
        <v>15</v>
      </c>
      <c r="C162" t="s">
        <v>16</v>
      </c>
      <c r="D162" t="s">
        <v>17</v>
      </c>
      <c r="E162" t="s">
        <v>29</v>
      </c>
      <c r="F162">
        <v>62</v>
      </c>
      <c r="G162">
        <v>34938.57</v>
      </c>
      <c r="H162">
        <v>8</v>
      </c>
      <c r="I162">
        <v>70</v>
      </c>
      <c r="J162" t="s">
        <v>240</v>
      </c>
    </row>
    <row r="163" spans="1:10" x14ac:dyDescent="0.25">
      <c r="A163" t="s">
        <v>141</v>
      </c>
      <c r="B163" t="s">
        <v>22</v>
      </c>
      <c r="C163" t="s">
        <v>41</v>
      </c>
      <c r="D163" t="s">
        <v>23</v>
      </c>
      <c r="E163" t="s">
        <v>29</v>
      </c>
      <c r="F163">
        <v>81</v>
      </c>
      <c r="G163">
        <v>22593.06</v>
      </c>
      <c r="H163">
        <v>6</v>
      </c>
      <c r="I163">
        <v>67</v>
      </c>
      <c r="J163" t="s">
        <v>240</v>
      </c>
    </row>
    <row r="164" spans="1:10" x14ac:dyDescent="0.25">
      <c r="A164" t="s">
        <v>143</v>
      </c>
      <c r="B164" t="s">
        <v>10</v>
      </c>
      <c r="C164" t="s">
        <v>16</v>
      </c>
      <c r="D164" t="s">
        <v>17</v>
      </c>
      <c r="E164" t="s">
        <v>18</v>
      </c>
      <c r="F164">
        <v>14</v>
      </c>
      <c r="G164">
        <v>10917.19</v>
      </c>
      <c r="H164">
        <v>22</v>
      </c>
      <c r="I164">
        <v>43</v>
      </c>
      <c r="J164" t="s">
        <v>240</v>
      </c>
    </row>
    <row r="165" spans="1:10" x14ac:dyDescent="0.25">
      <c r="A165" t="s">
        <v>150</v>
      </c>
      <c r="B165" t="s">
        <v>36</v>
      </c>
      <c r="C165" t="s">
        <v>11</v>
      </c>
      <c r="D165" t="s">
        <v>26</v>
      </c>
      <c r="E165" t="s">
        <v>13</v>
      </c>
      <c r="F165">
        <v>3</v>
      </c>
      <c r="G165">
        <v>46506.94</v>
      </c>
      <c r="H165">
        <v>9</v>
      </c>
      <c r="I165">
        <v>72</v>
      </c>
      <c r="J165" t="s">
        <v>240</v>
      </c>
    </row>
    <row r="166" spans="1:10" x14ac:dyDescent="0.25">
      <c r="A166" t="s">
        <v>151</v>
      </c>
      <c r="B166" t="s">
        <v>31</v>
      </c>
      <c r="C166" t="s">
        <v>41</v>
      </c>
      <c r="D166" t="s">
        <v>17</v>
      </c>
      <c r="E166" t="s">
        <v>13</v>
      </c>
      <c r="F166">
        <v>78</v>
      </c>
      <c r="G166">
        <v>40568.300000000003</v>
      </c>
      <c r="H166">
        <v>18</v>
      </c>
      <c r="I166">
        <v>91</v>
      </c>
      <c r="J166" t="s">
        <v>240</v>
      </c>
    </row>
    <row r="167" spans="1:10" x14ac:dyDescent="0.25">
      <c r="A167" t="s">
        <v>153</v>
      </c>
      <c r="B167" t="s">
        <v>15</v>
      </c>
      <c r="C167" t="s">
        <v>41</v>
      </c>
      <c r="D167" t="s">
        <v>23</v>
      </c>
      <c r="E167" t="s">
        <v>18</v>
      </c>
      <c r="F167">
        <v>88</v>
      </c>
      <c r="G167">
        <v>50993.47</v>
      </c>
      <c r="H167">
        <v>4</v>
      </c>
      <c r="I167">
        <v>82</v>
      </c>
      <c r="J167" t="s">
        <v>240</v>
      </c>
    </row>
    <row r="168" spans="1:10" x14ac:dyDescent="0.25">
      <c r="A168" t="s">
        <v>156</v>
      </c>
      <c r="B168" t="s">
        <v>25</v>
      </c>
      <c r="C168" t="s">
        <v>16</v>
      </c>
      <c r="D168" t="s">
        <v>12</v>
      </c>
      <c r="E168" t="s">
        <v>18</v>
      </c>
      <c r="F168">
        <v>83</v>
      </c>
      <c r="G168">
        <v>71584.960000000006</v>
      </c>
      <c r="H168">
        <v>26</v>
      </c>
      <c r="I168">
        <v>55</v>
      </c>
      <c r="J168" t="s">
        <v>240</v>
      </c>
    </row>
    <row r="169" spans="1:10" x14ac:dyDescent="0.25">
      <c r="A169" t="s">
        <v>159</v>
      </c>
      <c r="B169" t="s">
        <v>31</v>
      </c>
      <c r="C169" t="s">
        <v>11</v>
      </c>
      <c r="D169" t="s">
        <v>32</v>
      </c>
      <c r="E169" t="s">
        <v>29</v>
      </c>
      <c r="F169">
        <v>50</v>
      </c>
      <c r="G169">
        <v>62134.18</v>
      </c>
      <c r="H169">
        <v>13</v>
      </c>
      <c r="I169">
        <v>40</v>
      </c>
      <c r="J169" t="s">
        <v>240</v>
      </c>
    </row>
    <row r="170" spans="1:10" x14ac:dyDescent="0.25">
      <c r="A170" t="s">
        <v>160</v>
      </c>
      <c r="B170" t="s">
        <v>36</v>
      </c>
      <c r="C170" t="s">
        <v>41</v>
      </c>
      <c r="D170" t="s">
        <v>32</v>
      </c>
      <c r="E170" t="s">
        <v>18</v>
      </c>
      <c r="F170">
        <v>7</v>
      </c>
      <c r="G170">
        <v>59235.13</v>
      </c>
      <c r="H170">
        <v>12</v>
      </c>
      <c r="I170">
        <v>42</v>
      </c>
      <c r="J170" t="s">
        <v>240</v>
      </c>
    </row>
    <row r="171" spans="1:10" x14ac:dyDescent="0.25">
      <c r="A171" t="s">
        <v>167</v>
      </c>
      <c r="B171" t="s">
        <v>10</v>
      </c>
      <c r="C171" t="s">
        <v>28</v>
      </c>
      <c r="D171" t="s">
        <v>23</v>
      </c>
      <c r="E171" t="s">
        <v>18</v>
      </c>
      <c r="F171">
        <v>10</v>
      </c>
      <c r="G171">
        <v>21143.75</v>
      </c>
      <c r="H171">
        <v>2</v>
      </c>
      <c r="I171">
        <v>42</v>
      </c>
      <c r="J171" t="s">
        <v>240</v>
      </c>
    </row>
    <row r="172" spans="1:10" x14ac:dyDescent="0.25">
      <c r="A172" t="s">
        <v>168</v>
      </c>
      <c r="B172" t="s">
        <v>31</v>
      </c>
      <c r="C172" t="s">
        <v>28</v>
      </c>
      <c r="D172" t="s">
        <v>32</v>
      </c>
      <c r="E172" t="s">
        <v>29</v>
      </c>
      <c r="F172">
        <v>37</v>
      </c>
      <c r="G172">
        <v>58168.06</v>
      </c>
      <c r="H172">
        <v>3</v>
      </c>
      <c r="I172">
        <v>84</v>
      </c>
      <c r="J172" t="s">
        <v>240</v>
      </c>
    </row>
    <row r="173" spans="1:10" x14ac:dyDescent="0.25">
      <c r="A173" t="s">
        <v>170</v>
      </c>
      <c r="B173" t="s">
        <v>25</v>
      </c>
      <c r="C173" t="s">
        <v>16</v>
      </c>
      <c r="D173" t="s">
        <v>26</v>
      </c>
      <c r="E173" t="s">
        <v>18</v>
      </c>
      <c r="F173">
        <v>26</v>
      </c>
      <c r="G173">
        <v>60409.31</v>
      </c>
      <c r="H173">
        <v>25</v>
      </c>
      <c r="I173">
        <v>94</v>
      </c>
      <c r="J173" t="s">
        <v>240</v>
      </c>
    </row>
    <row r="174" spans="1:10" x14ac:dyDescent="0.25">
      <c r="A174" t="s">
        <v>172</v>
      </c>
      <c r="B174" t="s">
        <v>10</v>
      </c>
      <c r="C174" t="s">
        <v>28</v>
      </c>
      <c r="D174" t="s">
        <v>26</v>
      </c>
      <c r="E174" t="s">
        <v>18</v>
      </c>
      <c r="F174">
        <v>1</v>
      </c>
      <c r="G174">
        <v>46211.03</v>
      </c>
      <c r="H174">
        <v>4</v>
      </c>
      <c r="I174">
        <v>97</v>
      </c>
      <c r="J174" t="s">
        <v>240</v>
      </c>
    </row>
    <row r="175" spans="1:10" x14ac:dyDescent="0.25">
      <c r="A175" t="s">
        <v>173</v>
      </c>
      <c r="B175" t="s">
        <v>36</v>
      </c>
      <c r="C175" t="s">
        <v>11</v>
      </c>
      <c r="D175" t="s">
        <v>26</v>
      </c>
      <c r="E175" t="s">
        <v>18</v>
      </c>
      <c r="F175">
        <v>61</v>
      </c>
      <c r="G175">
        <v>32781.94</v>
      </c>
      <c r="H175">
        <v>1</v>
      </c>
      <c r="I175">
        <v>83</v>
      </c>
      <c r="J175" t="s">
        <v>240</v>
      </c>
    </row>
    <row r="176" spans="1:10" x14ac:dyDescent="0.25">
      <c r="A176" t="s">
        <v>175</v>
      </c>
      <c r="B176" t="s">
        <v>15</v>
      </c>
      <c r="C176" t="s">
        <v>11</v>
      </c>
      <c r="D176" t="s">
        <v>32</v>
      </c>
      <c r="E176" t="s">
        <v>13</v>
      </c>
      <c r="F176">
        <v>78</v>
      </c>
      <c r="G176">
        <v>15165.98</v>
      </c>
      <c r="H176">
        <v>25</v>
      </c>
      <c r="I176">
        <v>86</v>
      </c>
      <c r="J176" t="s">
        <v>240</v>
      </c>
    </row>
    <row r="177" spans="1:10" x14ac:dyDescent="0.25">
      <c r="A177" t="s">
        <v>179</v>
      </c>
      <c r="B177" t="s">
        <v>10</v>
      </c>
      <c r="C177" t="s">
        <v>16</v>
      </c>
      <c r="D177" t="s">
        <v>26</v>
      </c>
      <c r="E177" t="s">
        <v>29</v>
      </c>
      <c r="F177">
        <v>3</v>
      </c>
      <c r="G177">
        <v>40894.400000000001</v>
      </c>
      <c r="H177">
        <v>20</v>
      </c>
      <c r="I177">
        <v>46</v>
      </c>
      <c r="J177" t="s">
        <v>240</v>
      </c>
    </row>
    <row r="178" spans="1:10" x14ac:dyDescent="0.25">
      <c r="A178" t="s">
        <v>180</v>
      </c>
      <c r="B178" t="s">
        <v>10</v>
      </c>
      <c r="C178" t="s">
        <v>16</v>
      </c>
      <c r="D178" t="s">
        <v>26</v>
      </c>
      <c r="E178" t="s">
        <v>29</v>
      </c>
      <c r="F178">
        <v>28</v>
      </c>
      <c r="G178">
        <v>5522.04</v>
      </c>
      <c r="H178">
        <v>20</v>
      </c>
      <c r="I178">
        <v>95</v>
      </c>
      <c r="J178" t="s">
        <v>240</v>
      </c>
    </row>
    <row r="179" spans="1:10" x14ac:dyDescent="0.25">
      <c r="A179" t="s">
        <v>182</v>
      </c>
      <c r="B179" t="s">
        <v>10</v>
      </c>
      <c r="C179" t="s">
        <v>41</v>
      </c>
      <c r="D179" t="s">
        <v>32</v>
      </c>
      <c r="E179" t="s">
        <v>13</v>
      </c>
      <c r="F179">
        <v>2</v>
      </c>
      <c r="G179">
        <v>14606.74</v>
      </c>
      <c r="H179">
        <v>30</v>
      </c>
      <c r="I179">
        <v>75</v>
      </c>
      <c r="J179" t="s">
        <v>240</v>
      </c>
    </row>
    <row r="180" spans="1:10" x14ac:dyDescent="0.25">
      <c r="A180" t="s">
        <v>184</v>
      </c>
      <c r="B180" t="s">
        <v>25</v>
      </c>
      <c r="C180" t="s">
        <v>16</v>
      </c>
      <c r="D180" t="s">
        <v>32</v>
      </c>
      <c r="E180" t="s">
        <v>18</v>
      </c>
      <c r="F180">
        <v>33</v>
      </c>
      <c r="G180">
        <v>70189.8</v>
      </c>
      <c r="H180">
        <v>14</v>
      </c>
      <c r="I180">
        <v>88</v>
      </c>
      <c r="J180" t="s">
        <v>240</v>
      </c>
    </row>
    <row r="181" spans="1:10" x14ac:dyDescent="0.25">
      <c r="A181" t="s">
        <v>188</v>
      </c>
      <c r="B181" t="s">
        <v>31</v>
      </c>
      <c r="C181" t="s">
        <v>41</v>
      </c>
      <c r="D181" t="s">
        <v>17</v>
      </c>
      <c r="E181" t="s">
        <v>18</v>
      </c>
      <c r="F181">
        <v>74</v>
      </c>
      <c r="G181">
        <v>56018.43</v>
      </c>
      <c r="H181">
        <v>7</v>
      </c>
      <c r="I181">
        <v>77</v>
      </c>
      <c r="J181" t="s">
        <v>240</v>
      </c>
    </row>
    <row r="182" spans="1:10" x14ac:dyDescent="0.25">
      <c r="A182" t="s">
        <v>191</v>
      </c>
      <c r="B182" t="s">
        <v>15</v>
      </c>
      <c r="C182" t="s">
        <v>41</v>
      </c>
      <c r="D182" t="s">
        <v>32</v>
      </c>
      <c r="E182" t="s">
        <v>18</v>
      </c>
      <c r="F182">
        <v>48</v>
      </c>
      <c r="G182">
        <v>10911.55</v>
      </c>
      <c r="H182">
        <v>19</v>
      </c>
      <c r="I182">
        <v>47</v>
      </c>
      <c r="J182" t="s">
        <v>240</v>
      </c>
    </row>
    <row r="183" spans="1:10" x14ac:dyDescent="0.25">
      <c r="A183" t="s">
        <v>195</v>
      </c>
      <c r="B183" t="s">
        <v>15</v>
      </c>
      <c r="C183" t="s">
        <v>11</v>
      </c>
      <c r="D183" t="s">
        <v>26</v>
      </c>
      <c r="E183" t="s">
        <v>18</v>
      </c>
      <c r="F183">
        <v>36</v>
      </c>
      <c r="G183">
        <v>24614.639999999999</v>
      </c>
      <c r="H183">
        <v>30</v>
      </c>
      <c r="I183">
        <v>57</v>
      </c>
      <c r="J183" t="s">
        <v>240</v>
      </c>
    </row>
    <row r="184" spans="1:10" x14ac:dyDescent="0.25">
      <c r="A184" t="s">
        <v>196</v>
      </c>
      <c r="B184" t="s">
        <v>31</v>
      </c>
      <c r="C184" t="s">
        <v>11</v>
      </c>
      <c r="D184" t="s">
        <v>12</v>
      </c>
      <c r="E184" t="s">
        <v>29</v>
      </c>
      <c r="F184">
        <v>56</v>
      </c>
      <c r="G184">
        <v>36862.400000000001</v>
      </c>
      <c r="H184">
        <v>28</v>
      </c>
      <c r="I184">
        <v>66</v>
      </c>
      <c r="J184" t="s">
        <v>240</v>
      </c>
    </row>
    <row r="185" spans="1:10" x14ac:dyDescent="0.25">
      <c r="A185" t="s">
        <v>200</v>
      </c>
      <c r="B185" t="s">
        <v>36</v>
      </c>
      <c r="C185" t="s">
        <v>41</v>
      </c>
      <c r="D185" t="s">
        <v>12</v>
      </c>
      <c r="E185" t="s">
        <v>18</v>
      </c>
      <c r="F185">
        <v>67</v>
      </c>
      <c r="G185">
        <v>49487.73</v>
      </c>
      <c r="H185">
        <v>27</v>
      </c>
      <c r="I185">
        <v>72</v>
      </c>
      <c r="J185" t="s">
        <v>240</v>
      </c>
    </row>
    <row r="186" spans="1:10" x14ac:dyDescent="0.25">
      <c r="A186" t="s">
        <v>201</v>
      </c>
      <c r="B186" t="s">
        <v>10</v>
      </c>
      <c r="C186" t="s">
        <v>41</v>
      </c>
      <c r="D186" t="s">
        <v>17</v>
      </c>
      <c r="E186" t="s">
        <v>18</v>
      </c>
      <c r="F186">
        <v>11</v>
      </c>
      <c r="G186">
        <v>18263.25</v>
      </c>
      <c r="H186">
        <v>29</v>
      </c>
      <c r="I186">
        <v>83</v>
      </c>
      <c r="J186" t="s">
        <v>240</v>
      </c>
    </row>
    <row r="187" spans="1:10" x14ac:dyDescent="0.25">
      <c r="A187" t="s">
        <v>203</v>
      </c>
      <c r="B187" t="s">
        <v>22</v>
      </c>
      <c r="C187" t="s">
        <v>16</v>
      </c>
      <c r="D187" t="s">
        <v>26</v>
      </c>
      <c r="E187" t="s">
        <v>29</v>
      </c>
      <c r="F187">
        <v>69</v>
      </c>
      <c r="G187">
        <v>46708.35</v>
      </c>
      <c r="H187">
        <v>1</v>
      </c>
      <c r="I187">
        <v>88</v>
      </c>
      <c r="J187" t="s">
        <v>240</v>
      </c>
    </row>
    <row r="188" spans="1:10" x14ac:dyDescent="0.25">
      <c r="A188" t="s">
        <v>204</v>
      </c>
      <c r="B188" t="s">
        <v>25</v>
      </c>
      <c r="C188" t="s">
        <v>11</v>
      </c>
      <c r="D188" t="s">
        <v>17</v>
      </c>
      <c r="E188" t="s">
        <v>18</v>
      </c>
      <c r="F188">
        <v>54</v>
      </c>
      <c r="G188">
        <v>68133.7</v>
      </c>
      <c r="H188">
        <v>9</v>
      </c>
      <c r="I188">
        <v>60</v>
      </c>
      <c r="J188" t="s">
        <v>240</v>
      </c>
    </row>
    <row r="189" spans="1:10" x14ac:dyDescent="0.25">
      <c r="A189" t="s">
        <v>205</v>
      </c>
      <c r="B189" t="s">
        <v>36</v>
      </c>
      <c r="C189" t="s">
        <v>28</v>
      </c>
      <c r="D189" t="s">
        <v>12</v>
      </c>
      <c r="E189" t="s">
        <v>18</v>
      </c>
      <c r="F189">
        <v>82</v>
      </c>
      <c r="G189">
        <v>19213.509999999998</v>
      </c>
      <c r="H189">
        <v>26</v>
      </c>
      <c r="I189">
        <v>96</v>
      </c>
      <c r="J189" t="s">
        <v>240</v>
      </c>
    </row>
    <row r="190" spans="1:10" x14ac:dyDescent="0.25">
      <c r="A190" t="s">
        <v>206</v>
      </c>
      <c r="B190" t="s">
        <v>25</v>
      </c>
      <c r="C190" t="s">
        <v>41</v>
      </c>
      <c r="D190" t="s">
        <v>26</v>
      </c>
      <c r="E190" t="s">
        <v>18</v>
      </c>
      <c r="F190">
        <v>60</v>
      </c>
      <c r="G190">
        <v>22138.22</v>
      </c>
      <c r="H190">
        <v>3</v>
      </c>
      <c r="I190">
        <v>96</v>
      </c>
      <c r="J190" t="s">
        <v>240</v>
      </c>
    </row>
    <row r="191" spans="1:10" x14ac:dyDescent="0.25">
      <c r="A191" t="s">
        <v>207</v>
      </c>
      <c r="B191" t="s">
        <v>22</v>
      </c>
      <c r="C191" t="s">
        <v>16</v>
      </c>
      <c r="D191" t="s">
        <v>17</v>
      </c>
      <c r="E191" t="s">
        <v>18</v>
      </c>
      <c r="F191">
        <v>65</v>
      </c>
      <c r="G191">
        <v>30460.26</v>
      </c>
      <c r="H191">
        <v>21</v>
      </c>
      <c r="I191">
        <v>63</v>
      </c>
      <c r="J191" t="s">
        <v>240</v>
      </c>
    </row>
    <row r="192" spans="1:10" x14ac:dyDescent="0.25">
      <c r="A192" t="s">
        <v>208</v>
      </c>
      <c r="B192" t="s">
        <v>15</v>
      </c>
      <c r="C192" t="s">
        <v>28</v>
      </c>
      <c r="D192" t="s">
        <v>23</v>
      </c>
      <c r="E192" t="s">
        <v>18</v>
      </c>
      <c r="F192">
        <v>5</v>
      </c>
      <c r="G192">
        <v>52772.62</v>
      </c>
      <c r="H192">
        <v>9</v>
      </c>
      <c r="I192">
        <v>62</v>
      </c>
      <c r="J192" t="s">
        <v>240</v>
      </c>
    </row>
    <row r="193" spans="1:10" x14ac:dyDescent="0.25">
      <c r="A193" t="s">
        <v>210</v>
      </c>
      <c r="B193" t="s">
        <v>10</v>
      </c>
      <c r="C193" t="s">
        <v>16</v>
      </c>
      <c r="D193" t="s">
        <v>32</v>
      </c>
      <c r="E193" t="s">
        <v>18</v>
      </c>
      <c r="F193">
        <v>64</v>
      </c>
      <c r="G193">
        <v>19477.689999999999</v>
      </c>
      <c r="H193">
        <v>6</v>
      </c>
      <c r="I193">
        <v>65</v>
      </c>
      <c r="J193" t="s">
        <v>240</v>
      </c>
    </row>
    <row r="194" spans="1:10" x14ac:dyDescent="0.25">
      <c r="A194" t="s">
        <v>212</v>
      </c>
      <c r="B194" t="s">
        <v>36</v>
      </c>
      <c r="C194" t="s">
        <v>11</v>
      </c>
      <c r="D194" t="s">
        <v>26</v>
      </c>
      <c r="E194" t="s">
        <v>13</v>
      </c>
      <c r="F194">
        <v>72</v>
      </c>
      <c r="G194">
        <v>56437.97</v>
      </c>
      <c r="H194">
        <v>21</v>
      </c>
      <c r="I194">
        <v>78</v>
      </c>
      <c r="J194" t="s">
        <v>240</v>
      </c>
    </row>
    <row r="195" spans="1:10" x14ac:dyDescent="0.25">
      <c r="A195" t="s">
        <v>213</v>
      </c>
      <c r="B195" t="s">
        <v>31</v>
      </c>
      <c r="C195" t="s">
        <v>16</v>
      </c>
      <c r="D195" t="s">
        <v>17</v>
      </c>
      <c r="E195" t="s">
        <v>18</v>
      </c>
      <c r="F195">
        <v>86</v>
      </c>
      <c r="G195">
        <v>53586.34</v>
      </c>
      <c r="H195">
        <v>22</v>
      </c>
      <c r="I195">
        <v>96</v>
      </c>
      <c r="J195" t="s">
        <v>240</v>
      </c>
    </row>
    <row r="196" spans="1:10" x14ac:dyDescent="0.25">
      <c r="A196" t="s">
        <v>214</v>
      </c>
      <c r="B196" t="s">
        <v>10</v>
      </c>
      <c r="C196" t="s">
        <v>41</v>
      </c>
      <c r="D196" t="s">
        <v>17</v>
      </c>
      <c r="E196" t="s">
        <v>13</v>
      </c>
      <c r="F196">
        <v>62</v>
      </c>
      <c r="G196">
        <v>13836.03</v>
      </c>
      <c r="H196">
        <v>15</v>
      </c>
      <c r="I196">
        <v>60</v>
      </c>
      <c r="J196" t="s">
        <v>240</v>
      </c>
    </row>
    <row r="197" spans="1:10" x14ac:dyDescent="0.25">
      <c r="A197" t="s">
        <v>215</v>
      </c>
      <c r="B197" t="s">
        <v>15</v>
      </c>
      <c r="C197" t="s">
        <v>28</v>
      </c>
      <c r="D197" t="s">
        <v>23</v>
      </c>
      <c r="E197" t="s">
        <v>18</v>
      </c>
      <c r="F197">
        <v>38</v>
      </c>
      <c r="G197">
        <v>54960.36</v>
      </c>
      <c r="H197">
        <v>26</v>
      </c>
      <c r="I197">
        <v>61</v>
      </c>
      <c r="J197" t="s">
        <v>240</v>
      </c>
    </row>
    <row r="198" spans="1:10" x14ac:dyDescent="0.25">
      <c r="A198" t="s">
        <v>217</v>
      </c>
      <c r="B198" t="s">
        <v>25</v>
      </c>
      <c r="C198" t="s">
        <v>41</v>
      </c>
      <c r="D198" t="s">
        <v>32</v>
      </c>
      <c r="E198" t="s">
        <v>29</v>
      </c>
      <c r="F198">
        <v>52</v>
      </c>
      <c r="G198">
        <v>69945.08</v>
      </c>
      <c r="H198">
        <v>8</v>
      </c>
      <c r="I198">
        <v>80</v>
      </c>
      <c r="J198" t="s">
        <v>240</v>
      </c>
    </row>
    <row r="199" spans="1:10" x14ac:dyDescent="0.25">
      <c r="A199" t="s">
        <v>220</v>
      </c>
      <c r="B199" t="s">
        <v>10</v>
      </c>
      <c r="C199" t="s">
        <v>16</v>
      </c>
      <c r="D199" t="s">
        <v>17</v>
      </c>
      <c r="E199" t="s">
        <v>29</v>
      </c>
      <c r="F199">
        <v>70</v>
      </c>
      <c r="G199">
        <v>40806.769999999997</v>
      </c>
      <c r="H199">
        <v>1</v>
      </c>
      <c r="I199">
        <v>51</v>
      </c>
      <c r="J199" t="s">
        <v>240</v>
      </c>
    </row>
    <row r="200" spans="1:10" x14ac:dyDescent="0.25">
      <c r="A200" t="s">
        <v>221</v>
      </c>
      <c r="B200" t="s">
        <v>25</v>
      </c>
      <c r="C200" t="s">
        <v>41</v>
      </c>
      <c r="D200" t="s">
        <v>32</v>
      </c>
      <c r="E200" t="s">
        <v>13</v>
      </c>
      <c r="F200">
        <v>33</v>
      </c>
      <c r="G200">
        <v>56926.38</v>
      </c>
      <c r="H200">
        <v>11</v>
      </c>
      <c r="I200">
        <v>81</v>
      </c>
      <c r="J200" t="s">
        <v>240</v>
      </c>
    </row>
    <row r="201" spans="1:10" x14ac:dyDescent="0.25">
      <c r="A201" t="s">
        <v>223</v>
      </c>
      <c r="B201" t="s">
        <v>22</v>
      </c>
      <c r="C201" t="s">
        <v>28</v>
      </c>
      <c r="D201" t="s">
        <v>12</v>
      </c>
      <c r="E201" t="s">
        <v>13</v>
      </c>
      <c r="F201">
        <v>8</v>
      </c>
      <c r="G201">
        <v>7805.22</v>
      </c>
      <c r="H201">
        <v>13</v>
      </c>
      <c r="I201">
        <v>91</v>
      </c>
      <c r="J201" t="s">
        <v>240</v>
      </c>
    </row>
    <row r="202" spans="1:10" x14ac:dyDescent="0.25">
      <c r="A202" t="s">
        <v>224</v>
      </c>
      <c r="B202" t="s">
        <v>22</v>
      </c>
      <c r="C202" t="s">
        <v>11</v>
      </c>
      <c r="D202" t="s">
        <v>17</v>
      </c>
      <c r="E202" t="s">
        <v>18</v>
      </c>
      <c r="F202">
        <v>90</v>
      </c>
      <c r="G202">
        <v>64936.83</v>
      </c>
      <c r="H202">
        <v>23</v>
      </c>
      <c r="I202">
        <v>51</v>
      </c>
      <c r="J202" t="s">
        <v>240</v>
      </c>
    </row>
    <row r="203" spans="1:10" x14ac:dyDescent="0.25">
      <c r="A203" t="s">
        <v>225</v>
      </c>
      <c r="B203" t="s">
        <v>36</v>
      </c>
      <c r="C203" t="s">
        <v>41</v>
      </c>
      <c r="D203" t="s">
        <v>32</v>
      </c>
      <c r="E203" t="s">
        <v>13</v>
      </c>
      <c r="F203">
        <v>21</v>
      </c>
      <c r="G203">
        <v>57025.03</v>
      </c>
      <c r="H203">
        <v>18</v>
      </c>
      <c r="I203">
        <v>50</v>
      </c>
      <c r="J203" t="s">
        <v>240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93E8-50D1-48B9-8263-E67FE36E80AD}">
  <dimension ref="A3:F44"/>
  <sheetViews>
    <sheetView topLeftCell="B1" zoomScale="46" workbookViewId="0">
      <selection activeCell="AA24" sqref="AA24"/>
    </sheetView>
  </sheetViews>
  <sheetFormatPr defaultRowHeight="15" x14ac:dyDescent="0.25"/>
  <cols>
    <col min="1" max="1" width="21.85546875" bestFit="1" customWidth="1"/>
    <col min="2" max="2" width="30" bestFit="1" customWidth="1"/>
    <col min="3" max="3" width="21.85546875" bestFit="1" customWidth="1"/>
    <col min="4" max="4" width="30" bestFit="1" customWidth="1"/>
    <col min="5" max="5" width="39.85546875" bestFit="1" customWidth="1"/>
    <col min="6" max="6" width="18.85546875" bestFit="1" customWidth="1"/>
  </cols>
  <sheetData>
    <row r="3" spans="1:5" x14ac:dyDescent="0.25">
      <c r="A3" t="s">
        <v>227</v>
      </c>
      <c r="B3" t="s">
        <v>228</v>
      </c>
      <c r="C3" t="s">
        <v>229</v>
      </c>
      <c r="D3" t="s">
        <v>230</v>
      </c>
      <c r="E3" t="s">
        <v>231</v>
      </c>
    </row>
    <row r="4" spans="1:5" x14ac:dyDescent="0.25">
      <c r="A4">
        <v>200</v>
      </c>
      <c r="B4" s="1">
        <v>79698.513500000015</v>
      </c>
      <c r="C4" s="1">
        <v>41.71</v>
      </c>
      <c r="D4" s="1">
        <v>16.015000000000001</v>
      </c>
      <c r="E4" s="1">
        <v>70.375</v>
      </c>
    </row>
    <row r="7" spans="1:5" x14ac:dyDescent="0.25">
      <c r="A7" s="2" t="s">
        <v>232</v>
      </c>
      <c r="B7" t="s">
        <v>236</v>
      </c>
      <c r="C7" t="s">
        <v>234</v>
      </c>
      <c r="D7" t="s">
        <v>235</v>
      </c>
    </row>
    <row r="8" spans="1:5" x14ac:dyDescent="0.25">
      <c r="A8" s="3" t="s">
        <v>25</v>
      </c>
      <c r="B8" s="1">
        <v>70.5</v>
      </c>
      <c r="C8" s="1">
        <v>41</v>
      </c>
      <c r="D8" s="1">
        <v>19.571496576932219</v>
      </c>
    </row>
    <row r="9" spans="1:5" x14ac:dyDescent="0.25">
      <c r="A9" s="3" t="s">
        <v>10</v>
      </c>
      <c r="B9" s="1">
        <v>71.804878048780495</v>
      </c>
      <c r="C9" s="1">
        <v>40</v>
      </c>
      <c r="D9" s="1">
        <v>16.895590419093264</v>
      </c>
    </row>
    <row r="10" spans="1:5" x14ac:dyDescent="0.25">
      <c r="A10" s="3" t="s">
        <v>31</v>
      </c>
      <c r="B10" s="1">
        <v>66.392857142857139</v>
      </c>
      <c r="C10" s="1">
        <v>40</v>
      </c>
      <c r="D10" s="1">
        <v>19.085265376655212</v>
      </c>
    </row>
    <row r="11" spans="1:5" x14ac:dyDescent="0.25">
      <c r="A11" s="3" t="s">
        <v>36</v>
      </c>
      <c r="B11" s="1">
        <v>72.41935483870968</v>
      </c>
      <c r="C11" s="1">
        <v>41</v>
      </c>
      <c r="D11" s="1">
        <v>17.819042610923095</v>
      </c>
    </row>
    <row r="12" spans="1:5" x14ac:dyDescent="0.25">
      <c r="A12" s="3" t="s">
        <v>22</v>
      </c>
      <c r="B12" s="1">
        <v>67.263157894736835</v>
      </c>
      <c r="C12" s="1">
        <v>40</v>
      </c>
      <c r="D12" s="1">
        <v>16.439379567641545</v>
      </c>
    </row>
    <row r="13" spans="1:5" x14ac:dyDescent="0.25">
      <c r="A13" s="3" t="s">
        <v>15</v>
      </c>
      <c r="B13" s="1">
        <v>73.131578947368425</v>
      </c>
      <c r="C13" s="1">
        <v>42</v>
      </c>
      <c r="D13" s="1">
        <v>17.727930402572756</v>
      </c>
    </row>
    <row r="14" spans="1:5" x14ac:dyDescent="0.25">
      <c r="A14" s="3" t="s">
        <v>233</v>
      </c>
      <c r="B14" s="1">
        <v>70.375</v>
      </c>
      <c r="C14" s="1">
        <v>40</v>
      </c>
      <c r="D14" s="1">
        <v>17.726406926181141</v>
      </c>
    </row>
    <row r="17" spans="1:6" x14ac:dyDescent="0.25">
      <c r="A17" s="2" t="s">
        <v>232</v>
      </c>
      <c r="B17" t="s">
        <v>236</v>
      </c>
      <c r="C17" s="2" t="s">
        <v>232</v>
      </c>
      <c r="D17" t="s">
        <v>236</v>
      </c>
    </row>
    <row r="18" spans="1:6" x14ac:dyDescent="0.25">
      <c r="A18" s="3" t="s">
        <v>23</v>
      </c>
      <c r="B18" s="1">
        <v>67.921052631578945</v>
      </c>
      <c r="C18" s="3" t="s">
        <v>13</v>
      </c>
      <c r="D18" s="1">
        <v>71.614035087719301</v>
      </c>
    </row>
    <row r="19" spans="1:6" x14ac:dyDescent="0.25">
      <c r="A19" s="3" t="s">
        <v>32</v>
      </c>
      <c r="B19" s="1">
        <v>67.75555555555556</v>
      </c>
      <c r="C19" s="3" t="s">
        <v>18</v>
      </c>
      <c r="D19" s="1">
        <v>72.283950617283949</v>
      </c>
    </row>
    <row r="20" spans="1:6" x14ac:dyDescent="0.25">
      <c r="A20" s="3" t="s">
        <v>17</v>
      </c>
      <c r="B20" s="1">
        <v>73.243902439024396</v>
      </c>
      <c r="C20" s="3" t="s">
        <v>29</v>
      </c>
      <c r="D20" s="1">
        <v>66.741935483870961</v>
      </c>
    </row>
    <row r="21" spans="1:6" x14ac:dyDescent="0.25">
      <c r="A21" s="3" t="s">
        <v>12</v>
      </c>
      <c r="B21" s="1">
        <v>72.521739130434781</v>
      </c>
      <c r="C21" s="3" t="s">
        <v>233</v>
      </c>
      <c r="D21" s="1">
        <v>70.375</v>
      </c>
    </row>
    <row r="22" spans="1:6" x14ac:dyDescent="0.25">
      <c r="A22" s="3" t="s">
        <v>26</v>
      </c>
      <c r="B22" s="1">
        <v>70.2</v>
      </c>
      <c r="E22" t="s">
        <v>232</v>
      </c>
      <c r="F22" t="s">
        <v>236</v>
      </c>
    </row>
    <row r="23" spans="1:6" x14ac:dyDescent="0.25">
      <c r="A23" s="3" t="s">
        <v>233</v>
      </c>
      <c r="B23" s="1">
        <v>70.375</v>
      </c>
      <c r="C23" s="2" t="s">
        <v>232</v>
      </c>
      <c r="D23" t="s">
        <v>236</v>
      </c>
      <c r="E23" t="s">
        <v>16</v>
      </c>
      <c r="F23">
        <v>67.581818181818178</v>
      </c>
    </row>
    <row r="24" spans="1:6" x14ac:dyDescent="0.25">
      <c r="C24" s="3" t="s">
        <v>16</v>
      </c>
      <c r="D24" s="1">
        <v>67.581818181818178</v>
      </c>
      <c r="E24" t="s">
        <v>28</v>
      </c>
      <c r="F24">
        <v>70.021276595744681</v>
      </c>
    </row>
    <row r="25" spans="1:6" x14ac:dyDescent="0.25">
      <c r="C25" s="3" t="s">
        <v>28</v>
      </c>
      <c r="D25" s="1">
        <v>70.021276595744681</v>
      </c>
      <c r="E25" t="s">
        <v>41</v>
      </c>
      <c r="F25">
        <v>73.291666666666671</v>
      </c>
    </row>
    <row r="26" spans="1:6" x14ac:dyDescent="0.25">
      <c r="C26" s="3" t="s">
        <v>41</v>
      </c>
      <c r="D26" s="1">
        <v>73.291666666666671</v>
      </c>
      <c r="E26" t="s">
        <v>11</v>
      </c>
      <c r="F26">
        <v>70.98</v>
      </c>
    </row>
    <row r="27" spans="1:6" x14ac:dyDescent="0.25">
      <c r="C27" s="3" t="s">
        <v>11</v>
      </c>
      <c r="D27" s="1">
        <v>70.98</v>
      </c>
      <c r="E27" t="s">
        <v>233</v>
      </c>
      <c r="F27">
        <v>70.375</v>
      </c>
    </row>
    <row r="28" spans="1:6" x14ac:dyDescent="0.25">
      <c r="C28" s="3" t="s">
        <v>233</v>
      </c>
      <c r="D28" s="1">
        <v>70.375</v>
      </c>
    </row>
    <row r="30" spans="1:6" x14ac:dyDescent="0.25">
      <c r="C30" s="2" t="s">
        <v>232</v>
      </c>
      <c r="D30" t="s">
        <v>236</v>
      </c>
    </row>
    <row r="31" spans="1:6" x14ac:dyDescent="0.25">
      <c r="C31" s="3" t="s">
        <v>239</v>
      </c>
      <c r="D31" s="1">
        <v>72.254716981132077</v>
      </c>
    </row>
    <row r="32" spans="1:6" x14ac:dyDescent="0.25">
      <c r="C32" s="3" t="s">
        <v>240</v>
      </c>
      <c r="D32" s="1">
        <v>68.255319148936167</v>
      </c>
    </row>
    <row r="33" spans="3:6" x14ac:dyDescent="0.25">
      <c r="C33" s="3" t="s">
        <v>233</v>
      </c>
      <c r="D33" s="1">
        <v>70.375</v>
      </c>
    </row>
    <row r="35" spans="3:6" x14ac:dyDescent="0.25">
      <c r="C35" s="2" t="s">
        <v>232</v>
      </c>
      <c r="D35" t="s">
        <v>236</v>
      </c>
      <c r="E35" t="s">
        <v>232</v>
      </c>
      <c r="F35" t="s">
        <v>236</v>
      </c>
    </row>
    <row r="36" spans="3:6" x14ac:dyDescent="0.25">
      <c r="C36" s="3" t="s">
        <v>242</v>
      </c>
      <c r="D36" s="1">
        <v>68.324324324324323</v>
      </c>
      <c r="E36" t="s">
        <v>242</v>
      </c>
      <c r="F36">
        <v>68.324324324324323</v>
      </c>
    </row>
    <row r="37" spans="3:6" x14ac:dyDescent="0.25">
      <c r="C37" s="3" t="s">
        <v>243</v>
      </c>
      <c r="D37" s="1">
        <v>70.400000000000006</v>
      </c>
      <c r="E37" t="s">
        <v>243</v>
      </c>
      <c r="F37">
        <v>70.400000000000006</v>
      </c>
    </row>
    <row r="38" spans="3:6" x14ac:dyDescent="0.25">
      <c r="C38" s="3" t="s">
        <v>244</v>
      </c>
      <c r="D38" s="1">
        <v>72.961538461538467</v>
      </c>
      <c r="E38" t="s">
        <v>244</v>
      </c>
      <c r="F38">
        <v>72.961538461538467</v>
      </c>
    </row>
    <row r="39" spans="3:6" x14ac:dyDescent="0.25">
      <c r="C39" s="3" t="s">
        <v>245</v>
      </c>
      <c r="D39" s="1">
        <v>72.222222222222229</v>
      </c>
      <c r="E39" t="s">
        <v>245</v>
      </c>
      <c r="F39">
        <v>72.222222222222229</v>
      </c>
    </row>
    <row r="40" spans="3:6" x14ac:dyDescent="0.25">
      <c r="C40" s="3" t="s">
        <v>246</v>
      </c>
      <c r="D40" s="1">
        <v>68.242424242424249</v>
      </c>
      <c r="E40" t="s">
        <v>246</v>
      </c>
      <c r="F40">
        <v>68.242424242424249</v>
      </c>
    </row>
    <row r="41" spans="3:6" x14ac:dyDescent="0.25">
      <c r="C41" s="3" t="s">
        <v>247</v>
      </c>
      <c r="D41" s="1">
        <v>72.342857142857142</v>
      </c>
      <c r="E41" t="s">
        <v>247</v>
      </c>
      <c r="F41">
        <v>72.342857142857142</v>
      </c>
    </row>
    <row r="42" spans="3:6" x14ac:dyDescent="0.25">
      <c r="C42" s="3" t="s">
        <v>248</v>
      </c>
      <c r="D42" s="1">
        <v>67.230769230769226</v>
      </c>
      <c r="E42" t="s">
        <v>248</v>
      </c>
      <c r="F42">
        <v>67.230769230769226</v>
      </c>
    </row>
    <row r="43" spans="3:6" x14ac:dyDescent="0.25">
      <c r="C43" s="3" t="s">
        <v>249</v>
      </c>
      <c r="D43" s="1">
        <v>71.333333333333329</v>
      </c>
      <c r="E43" t="s">
        <v>249</v>
      </c>
      <c r="F43">
        <v>71.333333333333329</v>
      </c>
    </row>
    <row r="44" spans="3:6" x14ac:dyDescent="0.25">
      <c r="C44" s="3" t="s">
        <v>233</v>
      </c>
      <c r="D44" s="1">
        <v>70.375</v>
      </c>
      <c r="E44" t="s">
        <v>233</v>
      </c>
      <c r="F44">
        <v>70.375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14B39-36A2-4BE7-A213-28D5F79DC751}">
  <dimension ref="A1"/>
  <sheetViews>
    <sheetView showGridLines="0" showRowColHeaders="0" tabSelected="1" zoomScale="59" workbookViewId="0">
      <selection activeCell="Y27" sqref="Y27"/>
      <extLst>
        <ext xmlns:xlsdti="http://schemas.microsoft.com/office/spreadsheetml/2023/showDataTypeIcons" uri="{77bfe23e-c014-4d31-8a63-9c772dbf06b6}">
          <xlsdti:showDataTypeIcons visible="0"/>
        </ext>
      </extLst>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82A74-AF1B-422B-88FD-818259B4E77C}">
  <dimension ref="A1:K201"/>
  <sheetViews>
    <sheetView topLeftCell="A196" zoomScale="91" workbookViewId="0">
      <selection sqref="A1:K201"/>
    </sheetView>
  </sheetViews>
  <sheetFormatPr defaultRowHeight="15" x14ac:dyDescent="0.25"/>
  <cols>
    <col min="1" max="1" width="12" customWidth="1"/>
    <col min="2" max="2" width="14" customWidth="1"/>
    <col min="3" max="3" width="17.140625" customWidth="1"/>
    <col min="4" max="4" width="15" customWidth="1"/>
    <col min="5" max="5" width="9.85546875" customWidth="1"/>
    <col min="7" max="7" width="17.140625" customWidth="1"/>
    <col min="8" max="8" width="21.28515625" customWidth="1"/>
    <col min="9" max="9" width="17.140625" customWidth="1"/>
    <col min="11" max="11" width="20.140625" bestFit="1" customWidth="1"/>
  </cols>
  <sheetData>
    <row r="1" spans="1:11" x14ac:dyDescent="0.25">
      <c r="A1" t="s">
        <v>0</v>
      </c>
      <c r="B1" t="s">
        <v>1</v>
      </c>
      <c r="C1" t="s">
        <v>2</v>
      </c>
      <c r="D1" t="s">
        <v>3</v>
      </c>
      <c r="E1" t="s">
        <v>4</v>
      </c>
      <c r="F1" t="s">
        <v>5</v>
      </c>
      <c r="G1" t="s">
        <v>6</v>
      </c>
      <c r="H1" t="s">
        <v>7</v>
      </c>
      <c r="I1" t="s">
        <v>8</v>
      </c>
      <c r="J1" t="s">
        <v>252</v>
      </c>
      <c r="K1" t="s">
        <v>250</v>
      </c>
    </row>
    <row r="2" spans="1:11" x14ac:dyDescent="0.25">
      <c r="A2" t="s">
        <v>9</v>
      </c>
      <c r="B2" t="s">
        <v>10</v>
      </c>
      <c r="C2" t="s">
        <v>11</v>
      </c>
      <c r="D2" t="s">
        <v>12</v>
      </c>
      <c r="E2" t="s">
        <v>13</v>
      </c>
      <c r="F2">
        <v>12</v>
      </c>
      <c r="G2">
        <v>68632.97</v>
      </c>
      <c r="H2">
        <v>21</v>
      </c>
      <c r="I2">
        <v>82</v>
      </c>
      <c r="J2" t="str">
        <f t="shared" ref="J2:J33" si="0">IF(G2&gt;75000,"high cost","Low Cost")</f>
        <v>Low Cost</v>
      </c>
      <c r="K2" t="str">
        <f t="shared" ref="K2:K33" si="1">IF(F2&lt;=5,"Infant / Toddler",
IF(F2&lt;=12,"Child",
IF(F2&lt;=19,"Teenager",
IF(F2&lt;=29,"Young Adult",
IF(F2&lt;=44,"Adult",
IF(F2&lt;=59,"Middle-aged",
IF(F2&lt;=74,"Senior","Elderly")))))))</f>
        <v>Child</v>
      </c>
    </row>
    <row r="3" spans="1:11" x14ac:dyDescent="0.25">
      <c r="A3" t="s">
        <v>14</v>
      </c>
      <c r="B3" t="s">
        <v>15</v>
      </c>
      <c r="C3" t="s">
        <v>16</v>
      </c>
      <c r="D3" t="s">
        <v>17</v>
      </c>
      <c r="E3" t="s">
        <v>18</v>
      </c>
      <c r="F3">
        <v>52</v>
      </c>
      <c r="G3">
        <v>10231.42</v>
      </c>
      <c r="H3">
        <v>20</v>
      </c>
      <c r="I3">
        <v>42</v>
      </c>
      <c r="J3" t="str">
        <f t="shared" si="0"/>
        <v>Low Cost</v>
      </c>
      <c r="K3" t="str">
        <f t="shared" si="1"/>
        <v>Middle-aged</v>
      </c>
    </row>
    <row r="4" spans="1:11" x14ac:dyDescent="0.25">
      <c r="A4" t="s">
        <v>19</v>
      </c>
      <c r="B4" t="s">
        <v>15</v>
      </c>
      <c r="C4" t="s">
        <v>11</v>
      </c>
      <c r="D4" t="s">
        <v>12</v>
      </c>
      <c r="E4" t="s">
        <v>18</v>
      </c>
      <c r="F4">
        <v>79</v>
      </c>
      <c r="G4">
        <v>10160.24</v>
      </c>
      <c r="H4">
        <v>2</v>
      </c>
      <c r="I4">
        <v>72</v>
      </c>
      <c r="J4" t="str">
        <f t="shared" si="0"/>
        <v>Low Cost</v>
      </c>
      <c r="K4" t="str">
        <f t="shared" si="1"/>
        <v>Elderly</v>
      </c>
    </row>
    <row r="5" spans="1:11" x14ac:dyDescent="0.25">
      <c r="A5" t="s">
        <v>20</v>
      </c>
      <c r="B5" t="s">
        <v>15</v>
      </c>
      <c r="C5" t="s">
        <v>11</v>
      </c>
      <c r="D5" t="s">
        <v>12</v>
      </c>
      <c r="E5" t="s">
        <v>13</v>
      </c>
      <c r="F5">
        <v>23</v>
      </c>
      <c r="G5">
        <v>103508.96</v>
      </c>
      <c r="H5">
        <v>20</v>
      </c>
      <c r="I5">
        <v>50</v>
      </c>
      <c r="J5" t="str">
        <f t="shared" si="0"/>
        <v>high cost</v>
      </c>
      <c r="K5" t="str">
        <f t="shared" si="1"/>
        <v>Young Adult</v>
      </c>
    </row>
    <row r="6" spans="1:11" x14ac:dyDescent="0.25">
      <c r="A6" t="s">
        <v>21</v>
      </c>
      <c r="B6" t="s">
        <v>22</v>
      </c>
      <c r="C6" t="s">
        <v>16</v>
      </c>
      <c r="D6" t="s">
        <v>23</v>
      </c>
      <c r="E6" t="s">
        <v>13</v>
      </c>
      <c r="F6">
        <v>7</v>
      </c>
      <c r="G6">
        <v>143427.51999999999</v>
      </c>
      <c r="H6">
        <v>6</v>
      </c>
      <c r="I6">
        <v>43</v>
      </c>
      <c r="J6" t="str">
        <f t="shared" si="0"/>
        <v>high cost</v>
      </c>
      <c r="K6" t="str">
        <f t="shared" si="1"/>
        <v>Child</v>
      </c>
    </row>
    <row r="7" spans="1:11" x14ac:dyDescent="0.25">
      <c r="A7" t="s">
        <v>24</v>
      </c>
      <c r="B7" t="s">
        <v>25</v>
      </c>
      <c r="C7" t="s">
        <v>16</v>
      </c>
      <c r="D7" t="s">
        <v>26</v>
      </c>
      <c r="E7" t="s">
        <v>13</v>
      </c>
      <c r="F7">
        <v>78</v>
      </c>
      <c r="G7">
        <v>146252.19</v>
      </c>
      <c r="H7">
        <v>9</v>
      </c>
      <c r="I7">
        <v>41</v>
      </c>
      <c r="J7" t="str">
        <f t="shared" si="0"/>
        <v>high cost</v>
      </c>
      <c r="K7" t="str">
        <f t="shared" si="1"/>
        <v>Elderly</v>
      </c>
    </row>
    <row r="8" spans="1:11" x14ac:dyDescent="0.25">
      <c r="A8" t="s">
        <v>27</v>
      </c>
      <c r="B8" t="s">
        <v>25</v>
      </c>
      <c r="C8" t="s">
        <v>28</v>
      </c>
      <c r="D8" t="s">
        <v>17</v>
      </c>
      <c r="E8" t="s">
        <v>29</v>
      </c>
      <c r="F8">
        <v>30</v>
      </c>
      <c r="G8">
        <v>54393.48</v>
      </c>
      <c r="H8">
        <v>1</v>
      </c>
      <c r="I8">
        <v>42</v>
      </c>
      <c r="J8" t="str">
        <f t="shared" si="0"/>
        <v>Low Cost</v>
      </c>
      <c r="K8" t="str">
        <f t="shared" si="1"/>
        <v>Adult</v>
      </c>
    </row>
    <row r="9" spans="1:11" x14ac:dyDescent="0.25">
      <c r="A9" t="s">
        <v>30</v>
      </c>
      <c r="B9" t="s">
        <v>31</v>
      </c>
      <c r="C9" t="s">
        <v>28</v>
      </c>
      <c r="D9" t="s">
        <v>32</v>
      </c>
      <c r="E9" t="s">
        <v>29</v>
      </c>
      <c r="F9">
        <v>68</v>
      </c>
      <c r="G9">
        <v>30452.22</v>
      </c>
      <c r="H9">
        <v>6</v>
      </c>
      <c r="I9">
        <v>77</v>
      </c>
      <c r="J9" t="str">
        <f t="shared" si="0"/>
        <v>Low Cost</v>
      </c>
      <c r="K9" t="str">
        <f t="shared" si="1"/>
        <v>Senior</v>
      </c>
    </row>
    <row r="10" spans="1:11" x14ac:dyDescent="0.25">
      <c r="A10" t="s">
        <v>33</v>
      </c>
      <c r="B10" t="s">
        <v>10</v>
      </c>
      <c r="C10" t="s">
        <v>28</v>
      </c>
      <c r="D10" t="s">
        <v>12</v>
      </c>
      <c r="E10" t="s">
        <v>29</v>
      </c>
      <c r="F10">
        <v>41</v>
      </c>
      <c r="G10">
        <v>79517.25</v>
      </c>
      <c r="H10">
        <v>9</v>
      </c>
      <c r="I10">
        <v>62</v>
      </c>
      <c r="J10" t="str">
        <f t="shared" si="0"/>
        <v>high cost</v>
      </c>
      <c r="K10" t="str">
        <f t="shared" si="1"/>
        <v>Adult</v>
      </c>
    </row>
    <row r="11" spans="1:11" x14ac:dyDescent="0.25">
      <c r="A11" t="s">
        <v>34</v>
      </c>
      <c r="B11" t="s">
        <v>15</v>
      </c>
      <c r="C11" t="s">
        <v>16</v>
      </c>
      <c r="D11" t="s">
        <v>23</v>
      </c>
      <c r="E11" t="s">
        <v>29</v>
      </c>
      <c r="F11">
        <v>56</v>
      </c>
      <c r="G11">
        <v>116558.38</v>
      </c>
      <c r="H11">
        <v>24</v>
      </c>
      <c r="I11">
        <v>48</v>
      </c>
      <c r="J11" t="str">
        <f t="shared" si="0"/>
        <v>high cost</v>
      </c>
      <c r="K11" t="str">
        <f t="shared" si="1"/>
        <v>Middle-aged</v>
      </c>
    </row>
    <row r="12" spans="1:11" x14ac:dyDescent="0.25">
      <c r="A12" t="s">
        <v>35</v>
      </c>
      <c r="B12" t="s">
        <v>36</v>
      </c>
      <c r="C12" t="s">
        <v>16</v>
      </c>
      <c r="D12" t="s">
        <v>23</v>
      </c>
      <c r="E12" t="s">
        <v>13</v>
      </c>
      <c r="F12">
        <v>24</v>
      </c>
      <c r="G12">
        <v>135883.74</v>
      </c>
      <c r="H12">
        <v>15</v>
      </c>
      <c r="I12">
        <v>54</v>
      </c>
      <c r="J12" t="str">
        <f t="shared" si="0"/>
        <v>high cost</v>
      </c>
      <c r="K12" t="str">
        <f t="shared" si="1"/>
        <v>Young Adult</v>
      </c>
    </row>
    <row r="13" spans="1:11" x14ac:dyDescent="0.25">
      <c r="A13" t="s">
        <v>37</v>
      </c>
      <c r="B13" t="s">
        <v>15</v>
      </c>
      <c r="C13" t="s">
        <v>28</v>
      </c>
      <c r="D13" t="s">
        <v>17</v>
      </c>
      <c r="E13" t="s">
        <v>13</v>
      </c>
      <c r="F13">
        <v>62</v>
      </c>
      <c r="G13">
        <v>148179.98000000001</v>
      </c>
      <c r="H13">
        <v>11</v>
      </c>
      <c r="I13">
        <v>87</v>
      </c>
      <c r="J13" t="str">
        <f t="shared" si="0"/>
        <v>high cost</v>
      </c>
      <c r="K13" t="str">
        <f t="shared" si="1"/>
        <v>Senior</v>
      </c>
    </row>
    <row r="14" spans="1:11" x14ac:dyDescent="0.25">
      <c r="A14" t="s">
        <v>38</v>
      </c>
      <c r="B14" t="s">
        <v>25</v>
      </c>
      <c r="C14" t="s">
        <v>28</v>
      </c>
      <c r="D14" t="s">
        <v>32</v>
      </c>
      <c r="E14" t="s">
        <v>13</v>
      </c>
      <c r="F14">
        <v>65</v>
      </c>
      <c r="G14">
        <v>20591.650000000001</v>
      </c>
      <c r="H14">
        <v>28</v>
      </c>
      <c r="I14">
        <v>52</v>
      </c>
      <c r="J14" t="str">
        <f t="shared" si="0"/>
        <v>Low Cost</v>
      </c>
      <c r="K14" t="str">
        <f t="shared" si="1"/>
        <v>Senior</v>
      </c>
    </row>
    <row r="15" spans="1:11" x14ac:dyDescent="0.25">
      <c r="A15" t="s">
        <v>39</v>
      </c>
      <c r="B15" t="s">
        <v>10</v>
      </c>
      <c r="C15" t="s">
        <v>28</v>
      </c>
      <c r="D15" t="s">
        <v>12</v>
      </c>
      <c r="E15" t="s">
        <v>13</v>
      </c>
      <c r="F15">
        <v>13</v>
      </c>
      <c r="G15">
        <v>59149.07</v>
      </c>
      <c r="H15">
        <v>19</v>
      </c>
      <c r="I15">
        <v>86</v>
      </c>
      <c r="J15" t="str">
        <f t="shared" si="0"/>
        <v>Low Cost</v>
      </c>
      <c r="K15" t="str">
        <f t="shared" si="1"/>
        <v>Teenager</v>
      </c>
    </row>
    <row r="16" spans="1:11" x14ac:dyDescent="0.25">
      <c r="A16" t="s">
        <v>40</v>
      </c>
      <c r="B16" t="s">
        <v>10</v>
      </c>
      <c r="C16" t="s">
        <v>41</v>
      </c>
      <c r="D16" t="s">
        <v>26</v>
      </c>
      <c r="E16" t="s">
        <v>18</v>
      </c>
      <c r="F16">
        <v>39</v>
      </c>
      <c r="G16">
        <v>59335.72</v>
      </c>
      <c r="H16">
        <v>28</v>
      </c>
      <c r="I16">
        <v>80</v>
      </c>
      <c r="J16" t="str">
        <f t="shared" si="0"/>
        <v>Low Cost</v>
      </c>
      <c r="K16" t="str">
        <f t="shared" si="1"/>
        <v>Adult</v>
      </c>
    </row>
    <row r="17" spans="1:11" x14ac:dyDescent="0.25">
      <c r="A17" t="s">
        <v>42</v>
      </c>
      <c r="B17" t="s">
        <v>22</v>
      </c>
      <c r="C17" t="s">
        <v>16</v>
      </c>
      <c r="D17" t="s">
        <v>12</v>
      </c>
      <c r="E17" t="s">
        <v>18</v>
      </c>
      <c r="F17">
        <v>85</v>
      </c>
      <c r="G17">
        <v>101936.34</v>
      </c>
      <c r="H17">
        <v>27</v>
      </c>
      <c r="I17">
        <v>99</v>
      </c>
      <c r="J17" t="str">
        <f t="shared" si="0"/>
        <v>high cost</v>
      </c>
      <c r="K17" t="str">
        <f t="shared" si="1"/>
        <v>Elderly</v>
      </c>
    </row>
    <row r="18" spans="1:11" x14ac:dyDescent="0.25">
      <c r="A18" t="s">
        <v>43</v>
      </c>
      <c r="B18" t="s">
        <v>22</v>
      </c>
      <c r="C18" t="s">
        <v>41</v>
      </c>
      <c r="D18" t="s">
        <v>12</v>
      </c>
      <c r="E18" t="s">
        <v>18</v>
      </c>
      <c r="F18">
        <v>52</v>
      </c>
      <c r="G18">
        <v>107481.12</v>
      </c>
      <c r="H18">
        <v>8</v>
      </c>
      <c r="I18">
        <v>93</v>
      </c>
      <c r="J18" t="str">
        <f t="shared" si="0"/>
        <v>high cost</v>
      </c>
      <c r="K18" t="str">
        <f t="shared" si="1"/>
        <v>Middle-aged</v>
      </c>
    </row>
    <row r="19" spans="1:11" x14ac:dyDescent="0.25">
      <c r="A19" t="s">
        <v>44</v>
      </c>
      <c r="B19" t="s">
        <v>36</v>
      </c>
      <c r="C19" t="s">
        <v>11</v>
      </c>
      <c r="D19" t="s">
        <v>23</v>
      </c>
      <c r="E19" t="s">
        <v>18</v>
      </c>
      <c r="F19">
        <v>25</v>
      </c>
      <c r="G19">
        <v>142574.53</v>
      </c>
      <c r="H19">
        <v>30</v>
      </c>
      <c r="I19">
        <v>99</v>
      </c>
      <c r="J19" t="str">
        <f t="shared" si="0"/>
        <v>high cost</v>
      </c>
      <c r="K19" t="str">
        <f t="shared" si="1"/>
        <v>Young Adult</v>
      </c>
    </row>
    <row r="20" spans="1:11" x14ac:dyDescent="0.25">
      <c r="A20" t="s">
        <v>45</v>
      </c>
      <c r="B20" t="s">
        <v>15</v>
      </c>
      <c r="C20" t="s">
        <v>41</v>
      </c>
      <c r="D20" t="s">
        <v>23</v>
      </c>
      <c r="E20" t="s">
        <v>18</v>
      </c>
      <c r="F20">
        <v>1</v>
      </c>
      <c r="G20">
        <v>43174.44</v>
      </c>
      <c r="H20">
        <v>24</v>
      </c>
      <c r="I20">
        <v>100</v>
      </c>
      <c r="J20" t="str">
        <f t="shared" si="0"/>
        <v>Low Cost</v>
      </c>
      <c r="K20" t="str">
        <f t="shared" si="1"/>
        <v>Infant / Toddler</v>
      </c>
    </row>
    <row r="21" spans="1:11" x14ac:dyDescent="0.25">
      <c r="A21" t="s">
        <v>46</v>
      </c>
      <c r="B21" t="s">
        <v>31</v>
      </c>
      <c r="C21" t="s">
        <v>16</v>
      </c>
      <c r="D21" t="s">
        <v>12</v>
      </c>
      <c r="E21" t="s">
        <v>13</v>
      </c>
      <c r="F21">
        <v>3</v>
      </c>
      <c r="G21">
        <v>125171.58</v>
      </c>
      <c r="H21">
        <v>30</v>
      </c>
      <c r="I21">
        <v>89</v>
      </c>
      <c r="J21" t="str">
        <f t="shared" si="0"/>
        <v>high cost</v>
      </c>
      <c r="K21" t="str">
        <f t="shared" si="1"/>
        <v>Infant / Toddler</v>
      </c>
    </row>
    <row r="22" spans="1:11" x14ac:dyDescent="0.25">
      <c r="A22" t="s">
        <v>47</v>
      </c>
      <c r="B22" t="s">
        <v>15</v>
      </c>
      <c r="C22" t="s">
        <v>11</v>
      </c>
      <c r="D22" t="s">
        <v>26</v>
      </c>
      <c r="E22" t="s">
        <v>18</v>
      </c>
      <c r="F22">
        <v>31</v>
      </c>
      <c r="G22">
        <v>51842.34</v>
      </c>
      <c r="H22">
        <v>15</v>
      </c>
      <c r="I22">
        <v>74</v>
      </c>
      <c r="J22" t="str">
        <f t="shared" si="0"/>
        <v>Low Cost</v>
      </c>
      <c r="K22" t="str">
        <f t="shared" si="1"/>
        <v>Adult</v>
      </c>
    </row>
    <row r="23" spans="1:11" x14ac:dyDescent="0.25">
      <c r="A23" t="s">
        <v>48</v>
      </c>
      <c r="B23" t="s">
        <v>36</v>
      </c>
      <c r="C23" t="s">
        <v>11</v>
      </c>
      <c r="D23" t="s">
        <v>26</v>
      </c>
      <c r="E23" t="s">
        <v>18</v>
      </c>
      <c r="F23">
        <v>66</v>
      </c>
      <c r="G23">
        <v>30547.73</v>
      </c>
      <c r="H23">
        <v>11</v>
      </c>
      <c r="I23">
        <v>47</v>
      </c>
      <c r="J23" t="str">
        <f t="shared" si="0"/>
        <v>Low Cost</v>
      </c>
      <c r="K23" t="str">
        <f t="shared" si="1"/>
        <v>Senior</v>
      </c>
    </row>
    <row r="24" spans="1:11" x14ac:dyDescent="0.25">
      <c r="A24" t="s">
        <v>49</v>
      </c>
      <c r="B24" t="s">
        <v>22</v>
      </c>
      <c r="C24" t="s">
        <v>11</v>
      </c>
      <c r="D24" t="s">
        <v>32</v>
      </c>
      <c r="E24" t="s">
        <v>18</v>
      </c>
      <c r="F24">
        <v>68</v>
      </c>
      <c r="G24">
        <v>68961.679999999993</v>
      </c>
      <c r="H24">
        <v>5</v>
      </c>
      <c r="I24">
        <v>67</v>
      </c>
      <c r="J24" t="str">
        <f t="shared" si="0"/>
        <v>Low Cost</v>
      </c>
      <c r="K24" t="str">
        <f t="shared" si="1"/>
        <v>Senior</v>
      </c>
    </row>
    <row r="25" spans="1:11" x14ac:dyDescent="0.25">
      <c r="A25" t="s">
        <v>50</v>
      </c>
      <c r="B25" t="s">
        <v>36</v>
      </c>
      <c r="C25" t="s">
        <v>11</v>
      </c>
      <c r="D25" t="s">
        <v>32</v>
      </c>
      <c r="E25" t="s">
        <v>29</v>
      </c>
      <c r="F25">
        <v>75</v>
      </c>
      <c r="G25">
        <v>89887.05</v>
      </c>
      <c r="H25">
        <v>28</v>
      </c>
      <c r="I25">
        <v>92</v>
      </c>
      <c r="J25" t="str">
        <f t="shared" si="0"/>
        <v>high cost</v>
      </c>
      <c r="K25" t="str">
        <f t="shared" si="1"/>
        <v>Elderly</v>
      </c>
    </row>
    <row r="26" spans="1:11" x14ac:dyDescent="0.25">
      <c r="A26" t="s">
        <v>51</v>
      </c>
      <c r="B26" t="s">
        <v>15</v>
      </c>
      <c r="C26" t="s">
        <v>16</v>
      </c>
      <c r="D26" t="s">
        <v>12</v>
      </c>
      <c r="E26" t="s">
        <v>18</v>
      </c>
      <c r="F26">
        <v>35</v>
      </c>
      <c r="G26">
        <v>54350.5</v>
      </c>
      <c r="H26">
        <v>24</v>
      </c>
      <c r="I26">
        <v>70</v>
      </c>
      <c r="J26" t="str">
        <f t="shared" si="0"/>
        <v>Low Cost</v>
      </c>
      <c r="K26" t="str">
        <f t="shared" si="1"/>
        <v>Adult</v>
      </c>
    </row>
    <row r="27" spans="1:11" x14ac:dyDescent="0.25">
      <c r="A27" t="s">
        <v>52</v>
      </c>
      <c r="B27" t="s">
        <v>31</v>
      </c>
      <c r="C27" t="s">
        <v>11</v>
      </c>
      <c r="D27" t="s">
        <v>23</v>
      </c>
      <c r="E27" t="s">
        <v>18</v>
      </c>
      <c r="F27">
        <v>56</v>
      </c>
      <c r="G27">
        <v>47635.12</v>
      </c>
      <c r="H27">
        <v>3</v>
      </c>
      <c r="I27">
        <v>47</v>
      </c>
      <c r="J27" t="str">
        <f t="shared" si="0"/>
        <v>Low Cost</v>
      </c>
      <c r="K27" t="str">
        <f t="shared" si="1"/>
        <v>Middle-aged</v>
      </c>
    </row>
    <row r="28" spans="1:11" x14ac:dyDescent="0.25">
      <c r="A28" t="s">
        <v>53</v>
      </c>
      <c r="B28" t="s">
        <v>22</v>
      </c>
      <c r="C28" t="s">
        <v>41</v>
      </c>
      <c r="D28" t="s">
        <v>23</v>
      </c>
      <c r="E28" t="s">
        <v>29</v>
      </c>
      <c r="F28">
        <v>34</v>
      </c>
      <c r="G28">
        <v>136077.99</v>
      </c>
      <c r="H28">
        <v>25</v>
      </c>
      <c r="I28">
        <v>58</v>
      </c>
      <c r="J28" t="str">
        <f t="shared" si="0"/>
        <v>high cost</v>
      </c>
      <c r="K28" t="str">
        <f t="shared" si="1"/>
        <v>Adult</v>
      </c>
    </row>
    <row r="29" spans="1:11" x14ac:dyDescent="0.25">
      <c r="A29" t="s">
        <v>54</v>
      </c>
      <c r="B29" t="s">
        <v>25</v>
      </c>
      <c r="C29" t="s">
        <v>11</v>
      </c>
      <c r="D29" t="s">
        <v>23</v>
      </c>
      <c r="E29" t="s">
        <v>18</v>
      </c>
      <c r="F29">
        <v>31</v>
      </c>
      <c r="G29">
        <v>103276.56</v>
      </c>
      <c r="H29">
        <v>30</v>
      </c>
      <c r="I29">
        <v>84</v>
      </c>
      <c r="J29" t="str">
        <f t="shared" si="0"/>
        <v>high cost</v>
      </c>
      <c r="K29" t="str">
        <f t="shared" si="1"/>
        <v>Adult</v>
      </c>
    </row>
    <row r="30" spans="1:11" x14ac:dyDescent="0.25">
      <c r="A30" t="s">
        <v>55</v>
      </c>
      <c r="B30" t="s">
        <v>10</v>
      </c>
      <c r="C30" t="s">
        <v>41</v>
      </c>
      <c r="D30" t="s">
        <v>26</v>
      </c>
      <c r="E30" t="s">
        <v>18</v>
      </c>
      <c r="F30">
        <v>25</v>
      </c>
      <c r="G30">
        <v>38676.85</v>
      </c>
      <c r="H30">
        <v>9</v>
      </c>
      <c r="I30">
        <v>70</v>
      </c>
      <c r="J30" t="str">
        <f t="shared" si="0"/>
        <v>Low Cost</v>
      </c>
      <c r="K30" t="str">
        <f t="shared" si="1"/>
        <v>Young Adult</v>
      </c>
    </row>
    <row r="31" spans="1:11" x14ac:dyDescent="0.25">
      <c r="A31" t="s">
        <v>56</v>
      </c>
      <c r="B31" t="s">
        <v>10</v>
      </c>
      <c r="C31" t="s">
        <v>41</v>
      </c>
      <c r="D31" t="s">
        <v>32</v>
      </c>
      <c r="E31" t="s">
        <v>29</v>
      </c>
      <c r="F31">
        <v>86</v>
      </c>
      <c r="G31">
        <v>35788.22</v>
      </c>
      <c r="H31">
        <v>3</v>
      </c>
      <c r="I31">
        <v>66</v>
      </c>
      <c r="J31" t="str">
        <f t="shared" si="0"/>
        <v>Low Cost</v>
      </c>
      <c r="K31" t="str">
        <f t="shared" si="1"/>
        <v>Elderly</v>
      </c>
    </row>
    <row r="32" spans="1:11" x14ac:dyDescent="0.25">
      <c r="A32" t="s">
        <v>57</v>
      </c>
      <c r="B32" t="s">
        <v>36</v>
      </c>
      <c r="C32" t="s">
        <v>16</v>
      </c>
      <c r="D32" t="s">
        <v>12</v>
      </c>
      <c r="E32" t="s">
        <v>18</v>
      </c>
      <c r="F32">
        <v>79</v>
      </c>
      <c r="G32">
        <v>140415.63</v>
      </c>
      <c r="H32">
        <v>16</v>
      </c>
      <c r="I32">
        <v>67</v>
      </c>
      <c r="J32" t="str">
        <f t="shared" si="0"/>
        <v>high cost</v>
      </c>
      <c r="K32" t="str">
        <f t="shared" si="1"/>
        <v>Elderly</v>
      </c>
    </row>
    <row r="33" spans="1:11" x14ac:dyDescent="0.25">
      <c r="A33" t="s">
        <v>58</v>
      </c>
      <c r="B33" t="s">
        <v>22</v>
      </c>
      <c r="C33" t="s">
        <v>41</v>
      </c>
      <c r="D33" t="s">
        <v>26</v>
      </c>
      <c r="E33" t="s">
        <v>18</v>
      </c>
      <c r="F33">
        <v>51</v>
      </c>
      <c r="G33">
        <v>143365.82999999999</v>
      </c>
      <c r="H33">
        <v>1</v>
      </c>
      <c r="I33">
        <v>58</v>
      </c>
      <c r="J33" t="str">
        <f t="shared" si="0"/>
        <v>high cost</v>
      </c>
      <c r="K33" t="str">
        <f t="shared" si="1"/>
        <v>Middle-aged</v>
      </c>
    </row>
    <row r="34" spans="1:11" x14ac:dyDescent="0.25">
      <c r="A34" t="s">
        <v>59</v>
      </c>
      <c r="B34" t="s">
        <v>10</v>
      </c>
      <c r="C34" t="s">
        <v>16</v>
      </c>
      <c r="D34" t="s">
        <v>17</v>
      </c>
      <c r="E34" t="s">
        <v>18</v>
      </c>
      <c r="F34">
        <v>1</v>
      </c>
      <c r="G34">
        <v>101058.07</v>
      </c>
      <c r="H34">
        <v>4</v>
      </c>
      <c r="I34">
        <v>81</v>
      </c>
      <c r="J34" t="str">
        <f t="shared" ref="J34:J65" si="2">IF(G34&gt;75000,"high cost","Low Cost")</f>
        <v>high cost</v>
      </c>
      <c r="K34" t="str">
        <f t="shared" ref="K34:K65" si="3">IF(F34&lt;=5,"Infant / Toddler",
IF(F34&lt;=12,"Child",
IF(F34&lt;=19,"Teenager",
IF(F34&lt;=29,"Young Adult",
IF(F34&lt;=44,"Adult",
IF(F34&lt;=59,"Middle-aged",
IF(F34&lt;=74,"Senior","Elderly")))))))</f>
        <v>Infant / Toddler</v>
      </c>
    </row>
    <row r="35" spans="1:11" x14ac:dyDescent="0.25">
      <c r="A35" t="s">
        <v>60</v>
      </c>
      <c r="B35" t="s">
        <v>22</v>
      </c>
      <c r="C35" t="s">
        <v>11</v>
      </c>
      <c r="D35" t="s">
        <v>12</v>
      </c>
      <c r="E35" t="s">
        <v>29</v>
      </c>
      <c r="F35">
        <v>58</v>
      </c>
      <c r="G35">
        <v>41426.04</v>
      </c>
      <c r="H35">
        <v>6</v>
      </c>
      <c r="I35">
        <v>67</v>
      </c>
      <c r="J35" t="str">
        <f t="shared" si="2"/>
        <v>Low Cost</v>
      </c>
      <c r="K35" t="str">
        <f t="shared" si="3"/>
        <v>Middle-aged</v>
      </c>
    </row>
    <row r="36" spans="1:11" x14ac:dyDescent="0.25">
      <c r="A36" t="s">
        <v>61</v>
      </c>
      <c r="B36" t="s">
        <v>22</v>
      </c>
      <c r="C36" t="s">
        <v>28</v>
      </c>
      <c r="D36" t="s">
        <v>17</v>
      </c>
      <c r="E36" t="s">
        <v>13</v>
      </c>
      <c r="F36">
        <v>15</v>
      </c>
      <c r="G36">
        <v>131454.59</v>
      </c>
      <c r="H36">
        <v>30</v>
      </c>
      <c r="I36">
        <v>83</v>
      </c>
      <c r="J36" t="str">
        <f t="shared" si="2"/>
        <v>high cost</v>
      </c>
      <c r="K36" t="str">
        <f t="shared" si="3"/>
        <v>Teenager</v>
      </c>
    </row>
    <row r="37" spans="1:11" x14ac:dyDescent="0.25">
      <c r="A37" t="s">
        <v>62</v>
      </c>
      <c r="B37" t="s">
        <v>10</v>
      </c>
      <c r="C37" t="s">
        <v>16</v>
      </c>
      <c r="D37" t="s">
        <v>32</v>
      </c>
      <c r="E37" t="s">
        <v>13</v>
      </c>
      <c r="F37">
        <v>5</v>
      </c>
      <c r="G37">
        <v>48581.36</v>
      </c>
      <c r="H37">
        <v>16</v>
      </c>
      <c r="I37">
        <v>40</v>
      </c>
      <c r="J37" t="str">
        <f t="shared" si="2"/>
        <v>Low Cost</v>
      </c>
      <c r="K37" t="str">
        <f t="shared" si="3"/>
        <v>Infant / Toddler</v>
      </c>
    </row>
    <row r="38" spans="1:11" x14ac:dyDescent="0.25">
      <c r="A38" t="s">
        <v>63</v>
      </c>
      <c r="B38" t="s">
        <v>15</v>
      </c>
      <c r="C38" t="s">
        <v>11</v>
      </c>
      <c r="D38" t="s">
        <v>17</v>
      </c>
      <c r="E38" t="s">
        <v>13</v>
      </c>
      <c r="F38">
        <v>41</v>
      </c>
      <c r="G38">
        <v>143381.07</v>
      </c>
      <c r="H38">
        <v>1</v>
      </c>
      <c r="I38">
        <v>87</v>
      </c>
      <c r="J38" t="str">
        <f t="shared" si="2"/>
        <v>high cost</v>
      </c>
      <c r="K38" t="str">
        <f t="shared" si="3"/>
        <v>Adult</v>
      </c>
    </row>
    <row r="39" spans="1:11" x14ac:dyDescent="0.25">
      <c r="A39" t="s">
        <v>64</v>
      </c>
      <c r="B39" t="s">
        <v>15</v>
      </c>
      <c r="C39" t="s">
        <v>11</v>
      </c>
      <c r="D39" t="s">
        <v>17</v>
      </c>
      <c r="E39" t="s">
        <v>18</v>
      </c>
      <c r="F39">
        <v>3</v>
      </c>
      <c r="G39">
        <v>50045.440000000002</v>
      </c>
      <c r="H39">
        <v>15</v>
      </c>
      <c r="I39">
        <v>84</v>
      </c>
      <c r="J39" t="str">
        <f t="shared" si="2"/>
        <v>Low Cost</v>
      </c>
      <c r="K39" t="str">
        <f t="shared" si="3"/>
        <v>Infant / Toddler</v>
      </c>
    </row>
    <row r="40" spans="1:11" x14ac:dyDescent="0.25">
      <c r="A40" t="s">
        <v>65</v>
      </c>
      <c r="B40" t="s">
        <v>22</v>
      </c>
      <c r="C40" t="s">
        <v>11</v>
      </c>
      <c r="D40" t="s">
        <v>17</v>
      </c>
      <c r="E40" t="s">
        <v>29</v>
      </c>
      <c r="F40">
        <v>58</v>
      </c>
      <c r="G40">
        <v>86479.95</v>
      </c>
      <c r="H40">
        <v>1</v>
      </c>
      <c r="I40">
        <v>75</v>
      </c>
      <c r="J40" t="str">
        <f t="shared" si="2"/>
        <v>high cost</v>
      </c>
      <c r="K40" t="str">
        <f t="shared" si="3"/>
        <v>Middle-aged</v>
      </c>
    </row>
    <row r="41" spans="1:11" x14ac:dyDescent="0.25">
      <c r="A41" t="s">
        <v>66</v>
      </c>
      <c r="B41" t="s">
        <v>15</v>
      </c>
      <c r="C41" t="s">
        <v>41</v>
      </c>
      <c r="D41" t="s">
        <v>23</v>
      </c>
      <c r="E41" t="s">
        <v>18</v>
      </c>
      <c r="F41">
        <v>14</v>
      </c>
      <c r="G41">
        <v>9067.3799999999992</v>
      </c>
      <c r="H41">
        <v>28</v>
      </c>
      <c r="I41">
        <v>86</v>
      </c>
      <c r="J41" t="str">
        <f t="shared" si="2"/>
        <v>Low Cost</v>
      </c>
      <c r="K41" t="str">
        <f t="shared" si="3"/>
        <v>Teenager</v>
      </c>
    </row>
    <row r="42" spans="1:11" x14ac:dyDescent="0.25">
      <c r="A42" t="s">
        <v>67</v>
      </c>
      <c r="B42" t="s">
        <v>15</v>
      </c>
      <c r="C42" t="s">
        <v>28</v>
      </c>
      <c r="D42" t="s">
        <v>23</v>
      </c>
      <c r="E42" t="s">
        <v>18</v>
      </c>
      <c r="F42">
        <v>31</v>
      </c>
      <c r="G42">
        <v>113414.83</v>
      </c>
      <c r="H42">
        <v>8</v>
      </c>
      <c r="I42">
        <v>70</v>
      </c>
      <c r="J42" t="str">
        <f t="shared" si="2"/>
        <v>high cost</v>
      </c>
      <c r="K42" t="str">
        <f t="shared" si="3"/>
        <v>Adult</v>
      </c>
    </row>
    <row r="43" spans="1:11" x14ac:dyDescent="0.25">
      <c r="A43" t="s">
        <v>68</v>
      </c>
      <c r="B43" t="s">
        <v>31</v>
      </c>
      <c r="C43" t="s">
        <v>16</v>
      </c>
      <c r="D43" t="s">
        <v>12</v>
      </c>
      <c r="E43" t="s">
        <v>18</v>
      </c>
      <c r="F43">
        <v>85</v>
      </c>
      <c r="G43">
        <v>78946.19</v>
      </c>
      <c r="H43">
        <v>3</v>
      </c>
      <c r="I43">
        <v>48</v>
      </c>
      <c r="J43" t="str">
        <f t="shared" si="2"/>
        <v>high cost</v>
      </c>
      <c r="K43" t="str">
        <f t="shared" si="3"/>
        <v>Elderly</v>
      </c>
    </row>
    <row r="44" spans="1:11" x14ac:dyDescent="0.25">
      <c r="A44" t="s">
        <v>69</v>
      </c>
      <c r="B44" t="s">
        <v>10</v>
      </c>
      <c r="C44" t="s">
        <v>11</v>
      </c>
      <c r="D44" t="s">
        <v>26</v>
      </c>
      <c r="E44" t="s">
        <v>18</v>
      </c>
      <c r="F44">
        <v>22</v>
      </c>
      <c r="G44">
        <v>100035.91</v>
      </c>
      <c r="H44">
        <v>29</v>
      </c>
      <c r="I44">
        <v>70</v>
      </c>
      <c r="J44" t="str">
        <f t="shared" si="2"/>
        <v>high cost</v>
      </c>
      <c r="K44" t="str">
        <f t="shared" si="3"/>
        <v>Young Adult</v>
      </c>
    </row>
    <row r="45" spans="1:11" x14ac:dyDescent="0.25">
      <c r="A45" t="s">
        <v>70</v>
      </c>
      <c r="B45" t="s">
        <v>15</v>
      </c>
      <c r="C45" t="s">
        <v>28</v>
      </c>
      <c r="D45" t="s">
        <v>23</v>
      </c>
      <c r="E45" t="s">
        <v>18</v>
      </c>
      <c r="F45">
        <v>62</v>
      </c>
      <c r="G45">
        <v>149340.16</v>
      </c>
      <c r="H45">
        <v>18</v>
      </c>
      <c r="I45">
        <v>49</v>
      </c>
      <c r="J45" t="str">
        <f t="shared" si="2"/>
        <v>high cost</v>
      </c>
      <c r="K45" t="str">
        <f t="shared" si="3"/>
        <v>Senior</v>
      </c>
    </row>
    <row r="46" spans="1:11" x14ac:dyDescent="0.25">
      <c r="A46" t="s">
        <v>71</v>
      </c>
      <c r="B46" t="s">
        <v>10</v>
      </c>
      <c r="C46" t="s">
        <v>11</v>
      </c>
      <c r="D46" t="s">
        <v>12</v>
      </c>
      <c r="E46" t="s">
        <v>13</v>
      </c>
      <c r="F46">
        <v>79</v>
      </c>
      <c r="G46">
        <v>105328.19</v>
      </c>
      <c r="H46">
        <v>26</v>
      </c>
      <c r="I46">
        <v>94</v>
      </c>
      <c r="J46" t="str">
        <f t="shared" si="2"/>
        <v>high cost</v>
      </c>
      <c r="K46" t="str">
        <f t="shared" si="3"/>
        <v>Elderly</v>
      </c>
    </row>
    <row r="47" spans="1:11" x14ac:dyDescent="0.25">
      <c r="A47" t="s">
        <v>72</v>
      </c>
      <c r="B47" t="s">
        <v>10</v>
      </c>
      <c r="C47" t="s">
        <v>28</v>
      </c>
      <c r="D47" t="s">
        <v>12</v>
      </c>
      <c r="E47" t="s">
        <v>29</v>
      </c>
      <c r="F47">
        <v>19</v>
      </c>
      <c r="G47">
        <v>21826.12</v>
      </c>
      <c r="H47">
        <v>17</v>
      </c>
      <c r="I47">
        <v>48</v>
      </c>
      <c r="J47" t="str">
        <f t="shared" si="2"/>
        <v>Low Cost</v>
      </c>
      <c r="K47" t="str">
        <f t="shared" si="3"/>
        <v>Teenager</v>
      </c>
    </row>
    <row r="48" spans="1:11" x14ac:dyDescent="0.25">
      <c r="A48" t="s">
        <v>73</v>
      </c>
      <c r="B48" t="s">
        <v>36</v>
      </c>
      <c r="C48" t="s">
        <v>11</v>
      </c>
      <c r="D48" t="s">
        <v>32</v>
      </c>
      <c r="E48" t="s">
        <v>18</v>
      </c>
      <c r="F48">
        <v>37</v>
      </c>
      <c r="G48">
        <v>77556.53</v>
      </c>
      <c r="H48">
        <v>24</v>
      </c>
      <c r="I48">
        <v>87</v>
      </c>
      <c r="J48" t="str">
        <f t="shared" si="2"/>
        <v>high cost</v>
      </c>
      <c r="K48" t="str">
        <f t="shared" si="3"/>
        <v>Adult</v>
      </c>
    </row>
    <row r="49" spans="1:11" x14ac:dyDescent="0.25">
      <c r="A49" t="s">
        <v>74</v>
      </c>
      <c r="B49" t="s">
        <v>36</v>
      </c>
      <c r="C49" t="s">
        <v>28</v>
      </c>
      <c r="D49" t="s">
        <v>26</v>
      </c>
      <c r="E49" t="s">
        <v>18</v>
      </c>
      <c r="F49">
        <v>30</v>
      </c>
      <c r="G49">
        <v>53806.86</v>
      </c>
      <c r="H49">
        <v>21</v>
      </c>
      <c r="I49">
        <v>82</v>
      </c>
      <c r="J49" t="str">
        <f t="shared" si="2"/>
        <v>Low Cost</v>
      </c>
      <c r="K49" t="str">
        <f t="shared" si="3"/>
        <v>Adult</v>
      </c>
    </row>
    <row r="50" spans="1:11" x14ac:dyDescent="0.25">
      <c r="A50" t="s">
        <v>75</v>
      </c>
      <c r="B50" t="s">
        <v>15</v>
      </c>
      <c r="C50" t="s">
        <v>41</v>
      </c>
      <c r="D50" t="s">
        <v>12</v>
      </c>
      <c r="E50" t="s">
        <v>18</v>
      </c>
      <c r="F50">
        <v>66</v>
      </c>
      <c r="G50">
        <v>84096.91</v>
      </c>
      <c r="H50">
        <v>18</v>
      </c>
      <c r="I50">
        <v>91</v>
      </c>
      <c r="J50" t="str">
        <f t="shared" si="2"/>
        <v>high cost</v>
      </c>
      <c r="K50" t="str">
        <f t="shared" si="3"/>
        <v>Senior</v>
      </c>
    </row>
    <row r="51" spans="1:11" x14ac:dyDescent="0.25">
      <c r="A51" t="s">
        <v>76</v>
      </c>
      <c r="B51" t="s">
        <v>10</v>
      </c>
      <c r="C51" t="s">
        <v>28</v>
      </c>
      <c r="D51" t="s">
        <v>12</v>
      </c>
      <c r="E51" t="s">
        <v>18</v>
      </c>
      <c r="F51">
        <v>22</v>
      </c>
      <c r="G51">
        <v>46384.67</v>
      </c>
      <c r="H51">
        <v>3</v>
      </c>
      <c r="I51">
        <v>84</v>
      </c>
      <c r="J51" t="str">
        <f t="shared" si="2"/>
        <v>Low Cost</v>
      </c>
      <c r="K51" t="str">
        <f t="shared" si="3"/>
        <v>Young Adult</v>
      </c>
    </row>
    <row r="52" spans="1:11" x14ac:dyDescent="0.25">
      <c r="A52" t="s">
        <v>77</v>
      </c>
      <c r="B52" t="s">
        <v>10</v>
      </c>
      <c r="C52" t="s">
        <v>28</v>
      </c>
      <c r="D52" t="s">
        <v>17</v>
      </c>
      <c r="E52" t="s">
        <v>18</v>
      </c>
      <c r="F52">
        <v>60</v>
      </c>
      <c r="G52">
        <v>122442.43</v>
      </c>
      <c r="H52">
        <v>6</v>
      </c>
      <c r="I52">
        <v>94</v>
      </c>
      <c r="J52" t="str">
        <f t="shared" si="2"/>
        <v>high cost</v>
      </c>
      <c r="K52" t="str">
        <f t="shared" si="3"/>
        <v>Senior</v>
      </c>
    </row>
    <row r="53" spans="1:11" x14ac:dyDescent="0.25">
      <c r="A53" t="s">
        <v>78</v>
      </c>
      <c r="B53" t="s">
        <v>31</v>
      </c>
      <c r="C53" t="s">
        <v>16</v>
      </c>
      <c r="D53" t="s">
        <v>12</v>
      </c>
      <c r="E53" t="s">
        <v>29</v>
      </c>
      <c r="F53">
        <v>35</v>
      </c>
      <c r="G53">
        <v>73863.679999999993</v>
      </c>
      <c r="H53">
        <v>17</v>
      </c>
      <c r="I53">
        <v>42</v>
      </c>
      <c r="J53" t="str">
        <f t="shared" si="2"/>
        <v>Low Cost</v>
      </c>
      <c r="K53" t="str">
        <f t="shared" si="3"/>
        <v>Adult</v>
      </c>
    </row>
    <row r="54" spans="1:11" x14ac:dyDescent="0.25">
      <c r="A54" t="s">
        <v>79</v>
      </c>
      <c r="B54" t="s">
        <v>22</v>
      </c>
      <c r="C54" t="s">
        <v>11</v>
      </c>
      <c r="D54" t="s">
        <v>23</v>
      </c>
      <c r="E54" t="s">
        <v>13</v>
      </c>
      <c r="F54">
        <v>21</v>
      </c>
      <c r="G54">
        <v>75334.19</v>
      </c>
      <c r="H54">
        <v>23</v>
      </c>
      <c r="I54">
        <v>51</v>
      </c>
      <c r="J54" t="str">
        <f t="shared" si="2"/>
        <v>high cost</v>
      </c>
      <c r="K54" t="str">
        <f t="shared" si="3"/>
        <v>Young Adult</v>
      </c>
    </row>
    <row r="55" spans="1:11" x14ac:dyDescent="0.25">
      <c r="A55" t="s">
        <v>80</v>
      </c>
      <c r="B55" t="s">
        <v>31</v>
      </c>
      <c r="C55" t="s">
        <v>28</v>
      </c>
      <c r="D55" t="s">
        <v>17</v>
      </c>
      <c r="E55" t="s">
        <v>29</v>
      </c>
      <c r="F55">
        <v>51</v>
      </c>
      <c r="G55">
        <v>59829.99</v>
      </c>
      <c r="H55">
        <v>2</v>
      </c>
      <c r="I55">
        <v>40</v>
      </c>
      <c r="J55" t="str">
        <f t="shared" si="2"/>
        <v>Low Cost</v>
      </c>
      <c r="K55" t="str">
        <f t="shared" si="3"/>
        <v>Middle-aged</v>
      </c>
    </row>
    <row r="56" spans="1:11" x14ac:dyDescent="0.25">
      <c r="A56" t="s">
        <v>81</v>
      </c>
      <c r="B56" t="s">
        <v>31</v>
      </c>
      <c r="C56" t="s">
        <v>28</v>
      </c>
      <c r="D56" t="s">
        <v>32</v>
      </c>
      <c r="E56" t="s">
        <v>13</v>
      </c>
      <c r="F56">
        <v>87</v>
      </c>
      <c r="G56">
        <v>5444.8</v>
      </c>
      <c r="H56">
        <v>5</v>
      </c>
      <c r="I56">
        <v>42</v>
      </c>
      <c r="J56" t="str">
        <f t="shared" si="2"/>
        <v>Low Cost</v>
      </c>
      <c r="K56" t="str">
        <f t="shared" si="3"/>
        <v>Elderly</v>
      </c>
    </row>
    <row r="57" spans="1:11" x14ac:dyDescent="0.25">
      <c r="A57" t="s">
        <v>82</v>
      </c>
      <c r="B57" t="s">
        <v>25</v>
      </c>
      <c r="C57" t="s">
        <v>11</v>
      </c>
      <c r="D57" t="s">
        <v>17</v>
      </c>
      <c r="E57" t="s">
        <v>18</v>
      </c>
      <c r="F57">
        <v>11</v>
      </c>
      <c r="G57">
        <v>39022.85</v>
      </c>
      <c r="H57">
        <v>8</v>
      </c>
      <c r="I57">
        <v>96</v>
      </c>
      <c r="J57" t="str">
        <f t="shared" si="2"/>
        <v>Low Cost</v>
      </c>
      <c r="K57" t="str">
        <f t="shared" si="3"/>
        <v>Child</v>
      </c>
    </row>
    <row r="58" spans="1:11" x14ac:dyDescent="0.25">
      <c r="A58" t="s">
        <v>83</v>
      </c>
      <c r="B58" t="s">
        <v>15</v>
      </c>
      <c r="C58" t="s">
        <v>11</v>
      </c>
      <c r="D58" t="s">
        <v>12</v>
      </c>
      <c r="E58" t="s">
        <v>18</v>
      </c>
      <c r="F58">
        <v>7</v>
      </c>
      <c r="G58">
        <v>127110.45</v>
      </c>
      <c r="H58">
        <v>30</v>
      </c>
      <c r="I58">
        <v>100</v>
      </c>
      <c r="J58" t="str">
        <f t="shared" si="2"/>
        <v>high cost</v>
      </c>
      <c r="K58" t="str">
        <f t="shared" si="3"/>
        <v>Child</v>
      </c>
    </row>
    <row r="59" spans="1:11" x14ac:dyDescent="0.25">
      <c r="A59" t="s">
        <v>84</v>
      </c>
      <c r="B59" t="s">
        <v>25</v>
      </c>
      <c r="C59" t="s">
        <v>16</v>
      </c>
      <c r="D59" t="s">
        <v>17</v>
      </c>
      <c r="E59" t="s">
        <v>29</v>
      </c>
      <c r="F59">
        <v>80</v>
      </c>
      <c r="G59">
        <v>120082.46</v>
      </c>
      <c r="H59">
        <v>16</v>
      </c>
      <c r="I59">
        <v>93</v>
      </c>
      <c r="J59" t="str">
        <f t="shared" si="2"/>
        <v>high cost</v>
      </c>
      <c r="K59" t="str">
        <f t="shared" si="3"/>
        <v>Elderly</v>
      </c>
    </row>
    <row r="60" spans="1:11" x14ac:dyDescent="0.25">
      <c r="A60" t="s">
        <v>85</v>
      </c>
      <c r="B60" t="s">
        <v>15</v>
      </c>
      <c r="C60" t="s">
        <v>28</v>
      </c>
      <c r="D60" t="s">
        <v>17</v>
      </c>
      <c r="E60" t="s">
        <v>18</v>
      </c>
      <c r="F60">
        <v>75</v>
      </c>
      <c r="G60">
        <v>79671.37</v>
      </c>
      <c r="H60">
        <v>30</v>
      </c>
      <c r="I60">
        <v>43</v>
      </c>
      <c r="J60" t="str">
        <f t="shared" si="2"/>
        <v>high cost</v>
      </c>
      <c r="K60" t="str">
        <f t="shared" si="3"/>
        <v>Elderly</v>
      </c>
    </row>
    <row r="61" spans="1:11" x14ac:dyDescent="0.25">
      <c r="A61" t="s">
        <v>86</v>
      </c>
      <c r="B61" t="s">
        <v>10</v>
      </c>
      <c r="C61" t="s">
        <v>41</v>
      </c>
      <c r="D61" t="s">
        <v>12</v>
      </c>
      <c r="E61" t="s">
        <v>18</v>
      </c>
      <c r="F61">
        <v>7</v>
      </c>
      <c r="G61">
        <v>66277.52</v>
      </c>
      <c r="H61">
        <v>26</v>
      </c>
      <c r="I61">
        <v>69</v>
      </c>
      <c r="J61" t="str">
        <f t="shared" si="2"/>
        <v>Low Cost</v>
      </c>
      <c r="K61" t="str">
        <f t="shared" si="3"/>
        <v>Child</v>
      </c>
    </row>
    <row r="62" spans="1:11" x14ac:dyDescent="0.25">
      <c r="A62" t="s">
        <v>87</v>
      </c>
      <c r="B62" t="s">
        <v>22</v>
      </c>
      <c r="C62" t="s">
        <v>11</v>
      </c>
      <c r="D62" t="s">
        <v>32</v>
      </c>
      <c r="E62" t="s">
        <v>13</v>
      </c>
      <c r="F62">
        <v>14</v>
      </c>
      <c r="G62">
        <v>12241.3</v>
      </c>
      <c r="H62">
        <v>20</v>
      </c>
      <c r="I62">
        <v>40</v>
      </c>
      <c r="J62" t="str">
        <f t="shared" si="2"/>
        <v>Low Cost</v>
      </c>
      <c r="K62" t="str">
        <f t="shared" si="3"/>
        <v>Teenager</v>
      </c>
    </row>
    <row r="63" spans="1:11" x14ac:dyDescent="0.25">
      <c r="A63" t="s">
        <v>88</v>
      </c>
      <c r="B63" t="s">
        <v>36</v>
      </c>
      <c r="C63" t="s">
        <v>28</v>
      </c>
      <c r="D63" t="s">
        <v>17</v>
      </c>
      <c r="E63" t="s">
        <v>18</v>
      </c>
      <c r="F63">
        <v>22</v>
      </c>
      <c r="G63">
        <v>133882.43</v>
      </c>
      <c r="H63">
        <v>29</v>
      </c>
      <c r="I63">
        <v>63</v>
      </c>
      <c r="J63" t="str">
        <f t="shared" si="2"/>
        <v>high cost</v>
      </c>
      <c r="K63" t="str">
        <f t="shared" si="3"/>
        <v>Young Adult</v>
      </c>
    </row>
    <row r="64" spans="1:11" x14ac:dyDescent="0.25">
      <c r="A64" t="s">
        <v>89</v>
      </c>
      <c r="B64" t="s">
        <v>25</v>
      </c>
      <c r="C64" t="s">
        <v>41</v>
      </c>
      <c r="D64" t="s">
        <v>12</v>
      </c>
      <c r="E64" t="s">
        <v>29</v>
      </c>
      <c r="F64">
        <v>73</v>
      </c>
      <c r="G64">
        <v>148488.95000000001</v>
      </c>
      <c r="H64">
        <v>22</v>
      </c>
      <c r="I64">
        <v>77</v>
      </c>
      <c r="J64" t="str">
        <f t="shared" si="2"/>
        <v>high cost</v>
      </c>
      <c r="K64" t="str">
        <f t="shared" si="3"/>
        <v>Senior</v>
      </c>
    </row>
    <row r="65" spans="1:11" x14ac:dyDescent="0.25">
      <c r="A65" t="s">
        <v>90</v>
      </c>
      <c r="B65" t="s">
        <v>31</v>
      </c>
      <c r="C65" t="s">
        <v>16</v>
      </c>
      <c r="D65" t="s">
        <v>12</v>
      </c>
      <c r="E65" t="s">
        <v>29</v>
      </c>
      <c r="F65">
        <v>5</v>
      </c>
      <c r="G65">
        <v>74239.37</v>
      </c>
      <c r="H65">
        <v>7</v>
      </c>
      <c r="I65">
        <v>61</v>
      </c>
      <c r="J65" t="str">
        <f t="shared" si="2"/>
        <v>Low Cost</v>
      </c>
      <c r="K65" t="str">
        <f t="shared" si="3"/>
        <v>Infant / Toddler</v>
      </c>
    </row>
    <row r="66" spans="1:11" x14ac:dyDescent="0.25">
      <c r="A66" t="s">
        <v>91</v>
      </c>
      <c r="B66" t="s">
        <v>22</v>
      </c>
      <c r="C66" t="s">
        <v>16</v>
      </c>
      <c r="D66" t="s">
        <v>32</v>
      </c>
      <c r="E66" t="s">
        <v>18</v>
      </c>
      <c r="F66">
        <v>6</v>
      </c>
      <c r="G66">
        <v>98732.94</v>
      </c>
      <c r="H66">
        <v>25</v>
      </c>
      <c r="I66">
        <v>45</v>
      </c>
      <c r="J66" t="str">
        <f t="shared" ref="J66:J97" si="4">IF(G66&gt;75000,"high cost","Low Cost")</f>
        <v>high cost</v>
      </c>
      <c r="K66" t="str">
        <f t="shared" ref="K66:K97" si="5">IF(F66&lt;=5,"Infant / Toddler",
IF(F66&lt;=12,"Child",
IF(F66&lt;=19,"Teenager",
IF(F66&lt;=29,"Young Adult",
IF(F66&lt;=44,"Adult",
IF(F66&lt;=59,"Middle-aged",
IF(F66&lt;=74,"Senior","Elderly")))))))</f>
        <v>Child</v>
      </c>
    </row>
    <row r="67" spans="1:11" x14ac:dyDescent="0.25">
      <c r="A67" t="s">
        <v>92</v>
      </c>
      <c r="B67" t="s">
        <v>10</v>
      </c>
      <c r="C67" t="s">
        <v>11</v>
      </c>
      <c r="D67" t="s">
        <v>23</v>
      </c>
      <c r="E67" t="s">
        <v>13</v>
      </c>
      <c r="F67">
        <v>4</v>
      </c>
      <c r="G67">
        <v>66339.33</v>
      </c>
      <c r="H67">
        <v>5</v>
      </c>
      <c r="I67">
        <v>77</v>
      </c>
      <c r="J67" t="str">
        <f t="shared" si="4"/>
        <v>Low Cost</v>
      </c>
      <c r="K67" t="str">
        <f t="shared" si="5"/>
        <v>Infant / Toddler</v>
      </c>
    </row>
    <row r="68" spans="1:11" x14ac:dyDescent="0.25">
      <c r="A68" t="s">
        <v>93</v>
      </c>
      <c r="B68" t="s">
        <v>10</v>
      </c>
      <c r="C68" t="s">
        <v>16</v>
      </c>
      <c r="D68" t="s">
        <v>32</v>
      </c>
      <c r="E68" t="s">
        <v>18</v>
      </c>
      <c r="F68">
        <v>14</v>
      </c>
      <c r="G68">
        <v>113363.27</v>
      </c>
      <c r="H68">
        <v>9</v>
      </c>
      <c r="I68">
        <v>74</v>
      </c>
      <c r="J68" t="str">
        <f t="shared" si="4"/>
        <v>high cost</v>
      </c>
      <c r="K68" t="str">
        <f t="shared" si="5"/>
        <v>Teenager</v>
      </c>
    </row>
    <row r="69" spans="1:11" x14ac:dyDescent="0.25">
      <c r="A69" t="s">
        <v>94</v>
      </c>
      <c r="B69" t="s">
        <v>10</v>
      </c>
      <c r="C69" t="s">
        <v>16</v>
      </c>
      <c r="D69" t="s">
        <v>32</v>
      </c>
      <c r="E69" t="s">
        <v>13</v>
      </c>
      <c r="F69">
        <v>11</v>
      </c>
      <c r="G69">
        <v>24492.09</v>
      </c>
      <c r="H69">
        <v>8</v>
      </c>
      <c r="I69">
        <v>58</v>
      </c>
      <c r="J69" t="str">
        <f t="shared" si="4"/>
        <v>Low Cost</v>
      </c>
      <c r="K69" t="str">
        <f t="shared" si="5"/>
        <v>Child</v>
      </c>
    </row>
    <row r="70" spans="1:11" x14ac:dyDescent="0.25">
      <c r="A70" t="s">
        <v>95</v>
      </c>
      <c r="B70" t="s">
        <v>25</v>
      </c>
      <c r="C70" t="s">
        <v>16</v>
      </c>
      <c r="D70" t="s">
        <v>32</v>
      </c>
      <c r="E70" t="s">
        <v>13</v>
      </c>
      <c r="F70">
        <v>19</v>
      </c>
      <c r="G70">
        <v>42080.85</v>
      </c>
      <c r="H70">
        <v>29</v>
      </c>
      <c r="I70">
        <v>65</v>
      </c>
      <c r="J70" t="str">
        <f t="shared" si="4"/>
        <v>Low Cost</v>
      </c>
      <c r="K70" t="str">
        <f t="shared" si="5"/>
        <v>Teenager</v>
      </c>
    </row>
    <row r="71" spans="1:11" x14ac:dyDescent="0.25">
      <c r="A71" t="s">
        <v>96</v>
      </c>
      <c r="B71" t="s">
        <v>31</v>
      </c>
      <c r="C71" t="s">
        <v>16</v>
      </c>
      <c r="D71" t="s">
        <v>23</v>
      </c>
      <c r="E71" t="s">
        <v>29</v>
      </c>
      <c r="F71">
        <v>56</v>
      </c>
      <c r="G71">
        <v>147658.16</v>
      </c>
      <c r="H71">
        <v>11</v>
      </c>
      <c r="I71">
        <v>96</v>
      </c>
      <c r="J71" t="str">
        <f t="shared" si="4"/>
        <v>high cost</v>
      </c>
      <c r="K71" t="str">
        <f t="shared" si="5"/>
        <v>Middle-aged</v>
      </c>
    </row>
    <row r="72" spans="1:11" x14ac:dyDescent="0.25">
      <c r="A72" t="s">
        <v>97</v>
      </c>
      <c r="B72" t="s">
        <v>22</v>
      </c>
      <c r="C72" t="s">
        <v>16</v>
      </c>
      <c r="D72" t="s">
        <v>12</v>
      </c>
      <c r="E72" t="s">
        <v>13</v>
      </c>
      <c r="F72">
        <v>40</v>
      </c>
      <c r="G72">
        <v>79386.600000000006</v>
      </c>
      <c r="H72">
        <v>21</v>
      </c>
      <c r="I72">
        <v>67</v>
      </c>
      <c r="J72" t="str">
        <f t="shared" si="4"/>
        <v>high cost</v>
      </c>
      <c r="K72" t="str">
        <f t="shared" si="5"/>
        <v>Adult</v>
      </c>
    </row>
    <row r="73" spans="1:11" x14ac:dyDescent="0.25">
      <c r="A73" t="s">
        <v>98</v>
      </c>
      <c r="B73" t="s">
        <v>36</v>
      </c>
      <c r="C73" t="s">
        <v>41</v>
      </c>
      <c r="D73" t="s">
        <v>17</v>
      </c>
      <c r="E73" t="s">
        <v>18</v>
      </c>
      <c r="F73">
        <v>6</v>
      </c>
      <c r="G73">
        <v>22175.37</v>
      </c>
      <c r="H73">
        <v>17</v>
      </c>
      <c r="I73">
        <v>82</v>
      </c>
      <c r="J73" t="str">
        <f t="shared" si="4"/>
        <v>Low Cost</v>
      </c>
      <c r="K73" t="str">
        <f t="shared" si="5"/>
        <v>Child</v>
      </c>
    </row>
    <row r="74" spans="1:11" x14ac:dyDescent="0.25">
      <c r="A74" t="s">
        <v>99</v>
      </c>
      <c r="B74" t="s">
        <v>31</v>
      </c>
      <c r="C74" t="s">
        <v>28</v>
      </c>
      <c r="D74" t="s">
        <v>12</v>
      </c>
      <c r="E74" t="s">
        <v>29</v>
      </c>
      <c r="F74">
        <v>62</v>
      </c>
      <c r="G74">
        <v>16296.15</v>
      </c>
      <c r="H74">
        <v>28</v>
      </c>
      <c r="I74">
        <v>63</v>
      </c>
      <c r="J74" t="str">
        <f t="shared" si="4"/>
        <v>Low Cost</v>
      </c>
      <c r="K74" t="str">
        <f t="shared" si="5"/>
        <v>Senior</v>
      </c>
    </row>
    <row r="75" spans="1:11" x14ac:dyDescent="0.25">
      <c r="A75" t="s">
        <v>100</v>
      </c>
      <c r="B75" t="s">
        <v>31</v>
      </c>
      <c r="C75" t="s">
        <v>41</v>
      </c>
      <c r="D75" t="s">
        <v>12</v>
      </c>
      <c r="E75" t="s">
        <v>29</v>
      </c>
      <c r="F75">
        <v>56</v>
      </c>
      <c r="G75">
        <v>120488.57</v>
      </c>
      <c r="H75">
        <v>30</v>
      </c>
      <c r="I75">
        <v>48</v>
      </c>
      <c r="J75" t="str">
        <f t="shared" si="4"/>
        <v>high cost</v>
      </c>
      <c r="K75" t="str">
        <f t="shared" si="5"/>
        <v>Middle-aged</v>
      </c>
    </row>
    <row r="76" spans="1:11" x14ac:dyDescent="0.25">
      <c r="A76" t="s">
        <v>101</v>
      </c>
      <c r="B76" t="s">
        <v>22</v>
      </c>
      <c r="C76" t="s">
        <v>28</v>
      </c>
      <c r="D76" t="s">
        <v>12</v>
      </c>
      <c r="E76" t="s">
        <v>13</v>
      </c>
      <c r="F76">
        <v>8</v>
      </c>
      <c r="G76">
        <v>111873.66</v>
      </c>
      <c r="H76">
        <v>16</v>
      </c>
      <c r="I76">
        <v>74</v>
      </c>
      <c r="J76" t="str">
        <f t="shared" si="4"/>
        <v>high cost</v>
      </c>
      <c r="K76" t="str">
        <f t="shared" si="5"/>
        <v>Child</v>
      </c>
    </row>
    <row r="77" spans="1:11" x14ac:dyDescent="0.25">
      <c r="A77" t="s">
        <v>102</v>
      </c>
      <c r="B77" t="s">
        <v>22</v>
      </c>
      <c r="C77" t="s">
        <v>16</v>
      </c>
      <c r="D77" t="s">
        <v>23</v>
      </c>
      <c r="E77" t="s">
        <v>18</v>
      </c>
      <c r="F77">
        <v>62</v>
      </c>
      <c r="G77">
        <v>27610.65</v>
      </c>
      <c r="H77">
        <v>26</v>
      </c>
      <c r="I77">
        <v>72</v>
      </c>
      <c r="J77" t="str">
        <f t="shared" si="4"/>
        <v>Low Cost</v>
      </c>
      <c r="K77" t="str">
        <f t="shared" si="5"/>
        <v>Senior</v>
      </c>
    </row>
    <row r="78" spans="1:11" x14ac:dyDescent="0.25">
      <c r="A78" t="s">
        <v>103</v>
      </c>
      <c r="B78" t="s">
        <v>22</v>
      </c>
      <c r="C78" t="s">
        <v>41</v>
      </c>
      <c r="D78" t="s">
        <v>32</v>
      </c>
      <c r="E78" t="s">
        <v>29</v>
      </c>
      <c r="F78">
        <v>17</v>
      </c>
      <c r="G78">
        <v>142458.98000000001</v>
      </c>
      <c r="H78">
        <v>6</v>
      </c>
      <c r="I78">
        <v>69</v>
      </c>
      <c r="J78" t="str">
        <f t="shared" si="4"/>
        <v>high cost</v>
      </c>
      <c r="K78" t="str">
        <f t="shared" si="5"/>
        <v>Teenager</v>
      </c>
    </row>
    <row r="79" spans="1:11" x14ac:dyDescent="0.25">
      <c r="A79" t="s">
        <v>104</v>
      </c>
      <c r="B79" t="s">
        <v>22</v>
      </c>
      <c r="C79" t="s">
        <v>11</v>
      </c>
      <c r="D79" t="s">
        <v>23</v>
      </c>
      <c r="E79" t="s">
        <v>29</v>
      </c>
      <c r="F79">
        <v>7</v>
      </c>
      <c r="G79">
        <v>23799.83</v>
      </c>
      <c r="H79">
        <v>26</v>
      </c>
      <c r="I79">
        <v>52</v>
      </c>
      <c r="J79" t="str">
        <f t="shared" si="4"/>
        <v>Low Cost</v>
      </c>
      <c r="K79" t="str">
        <f t="shared" si="5"/>
        <v>Child</v>
      </c>
    </row>
    <row r="80" spans="1:11" x14ac:dyDescent="0.25">
      <c r="A80" t="s">
        <v>105</v>
      </c>
      <c r="B80" t="s">
        <v>36</v>
      </c>
      <c r="C80" t="s">
        <v>41</v>
      </c>
      <c r="D80" t="s">
        <v>12</v>
      </c>
      <c r="E80" t="s">
        <v>29</v>
      </c>
      <c r="F80">
        <v>49</v>
      </c>
      <c r="G80">
        <v>117019.47</v>
      </c>
      <c r="H80">
        <v>28</v>
      </c>
      <c r="I80">
        <v>63</v>
      </c>
      <c r="J80" t="str">
        <f t="shared" si="4"/>
        <v>high cost</v>
      </c>
      <c r="K80" t="str">
        <f t="shared" si="5"/>
        <v>Middle-aged</v>
      </c>
    </row>
    <row r="81" spans="1:11" x14ac:dyDescent="0.25">
      <c r="A81" t="s">
        <v>106</v>
      </c>
      <c r="B81" t="s">
        <v>36</v>
      </c>
      <c r="C81" t="s">
        <v>11</v>
      </c>
      <c r="D81" t="s">
        <v>32</v>
      </c>
      <c r="E81" t="s">
        <v>29</v>
      </c>
      <c r="F81">
        <v>12</v>
      </c>
      <c r="G81">
        <v>69472.05</v>
      </c>
      <c r="H81">
        <v>11</v>
      </c>
      <c r="I81">
        <v>68</v>
      </c>
      <c r="J81" t="str">
        <f t="shared" si="4"/>
        <v>Low Cost</v>
      </c>
      <c r="K81" t="str">
        <f t="shared" si="5"/>
        <v>Child</v>
      </c>
    </row>
    <row r="82" spans="1:11" x14ac:dyDescent="0.25">
      <c r="A82" t="s">
        <v>107</v>
      </c>
      <c r="B82" t="s">
        <v>25</v>
      </c>
      <c r="C82" t="s">
        <v>11</v>
      </c>
      <c r="D82" t="s">
        <v>32</v>
      </c>
      <c r="E82" t="s">
        <v>13</v>
      </c>
      <c r="F82">
        <v>5</v>
      </c>
      <c r="G82">
        <v>64103.040000000001</v>
      </c>
      <c r="H82">
        <v>14</v>
      </c>
      <c r="I82">
        <v>42</v>
      </c>
      <c r="J82" t="str">
        <f t="shared" si="4"/>
        <v>Low Cost</v>
      </c>
      <c r="K82" t="str">
        <f t="shared" si="5"/>
        <v>Infant / Toddler</v>
      </c>
    </row>
    <row r="83" spans="1:11" x14ac:dyDescent="0.25">
      <c r="A83" t="s">
        <v>108</v>
      </c>
      <c r="B83" t="s">
        <v>22</v>
      </c>
      <c r="C83" t="s">
        <v>11</v>
      </c>
      <c r="D83" t="s">
        <v>12</v>
      </c>
      <c r="E83" t="s">
        <v>29</v>
      </c>
      <c r="F83">
        <v>13</v>
      </c>
      <c r="G83">
        <v>137441.75</v>
      </c>
      <c r="H83">
        <v>23</v>
      </c>
      <c r="I83">
        <v>74</v>
      </c>
      <c r="J83" t="str">
        <f t="shared" si="4"/>
        <v>high cost</v>
      </c>
      <c r="K83" t="str">
        <f t="shared" si="5"/>
        <v>Teenager</v>
      </c>
    </row>
    <row r="84" spans="1:11" x14ac:dyDescent="0.25">
      <c r="A84" t="s">
        <v>109</v>
      </c>
      <c r="B84" t="s">
        <v>25</v>
      </c>
      <c r="C84" t="s">
        <v>11</v>
      </c>
      <c r="D84" t="s">
        <v>23</v>
      </c>
      <c r="E84" t="s">
        <v>13</v>
      </c>
      <c r="F84">
        <v>71</v>
      </c>
      <c r="G84">
        <v>11066.61</v>
      </c>
      <c r="H84">
        <v>17</v>
      </c>
      <c r="I84">
        <v>86</v>
      </c>
      <c r="J84" t="str">
        <f t="shared" si="4"/>
        <v>Low Cost</v>
      </c>
      <c r="K84" t="str">
        <f t="shared" si="5"/>
        <v>Senior</v>
      </c>
    </row>
    <row r="85" spans="1:11" x14ac:dyDescent="0.25">
      <c r="A85" t="s">
        <v>110</v>
      </c>
      <c r="B85" t="s">
        <v>31</v>
      </c>
      <c r="C85" t="s">
        <v>16</v>
      </c>
      <c r="D85" t="s">
        <v>26</v>
      </c>
      <c r="E85" t="s">
        <v>13</v>
      </c>
      <c r="F85">
        <v>87</v>
      </c>
      <c r="G85">
        <v>36726.76</v>
      </c>
      <c r="H85">
        <v>4</v>
      </c>
      <c r="I85">
        <v>53</v>
      </c>
      <c r="J85" t="str">
        <f t="shared" si="4"/>
        <v>Low Cost</v>
      </c>
      <c r="K85" t="str">
        <f t="shared" si="5"/>
        <v>Elderly</v>
      </c>
    </row>
    <row r="86" spans="1:11" x14ac:dyDescent="0.25">
      <c r="A86" t="s">
        <v>111</v>
      </c>
      <c r="B86" t="s">
        <v>15</v>
      </c>
      <c r="C86" t="s">
        <v>16</v>
      </c>
      <c r="D86" t="s">
        <v>17</v>
      </c>
      <c r="E86" t="s">
        <v>29</v>
      </c>
      <c r="F86">
        <v>40</v>
      </c>
      <c r="G86">
        <v>19717.900000000001</v>
      </c>
      <c r="H86">
        <v>20</v>
      </c>
      <c r="I86">
        <v>63</v>
      </c>
      <c r="J86" t="str">
        <f t="shared" si="4"/>
        <v>Low Cost</v>
      </c>
      <c r="K86" t="str">
        <f t="shared" si="5"/>
        <v>Adult</v>
      </c>
    </row>
    <row r="87" spans="1:11" x14ac:dyDescent="0.25">
      <c r="A87" t="s">
        <v>112</v>
      </c>
      <c r="B87" t="s">
        <v>36</v>
      </c>
      <c r="C87" t="s">
        <v>16</v>
      </c>
      <c r="D87" t="s">
        <v>26</v>
      </c>
      <c r="E87" t="s">
        <v>29</v>
      </c>
      <c r="F87">
        <v>63</v>
      </c>
      <c r="G87">
        <v>82657.039999999994</v>
      </c>
      <c r="H87">
        <v>4</v>
      </c>
      <c r="I87">
        <v>55</v>
      </c>
      <c r="J87" t="str">
        <f t="shared" si="4"/>
        <v>high cost</v>
      </c>
      <c r="K87" t="str">
        <f t="shared" si="5"/>
        <v>Senior</v>
      </c>
    </row>
    <row r="88" spans="1:11" x14ac:dyDescent="0.25">
      <c r="A88" t="s">
        <v>113</v>
      </c>
      <c r="B88" t="s">
        <v>15</v>
      </c>
      <c r="C88" t="s">
        <v>16</v>
      </c>
      <c r="D88" t="s">
        <v>17</v>
      </c>
      <c r="E88" t="s">
        <v>29</v>
      </c>
      <c r="F88">
        <v>1</v>
      </c>
      <c r="G88">
        <v>16874.009999999998</v>
      </c>
      <c r="H88">
        <v>14</v>
      </c>
      <c r="I88">
        <v>76</v>
      </c>
      <c r="J88" t="str">
        <f t="shared" si="4"/>
        <v>Low Cost</v>
      </c>
      <c r="K88" t="str">
        <f t="shared" si="5"/>
        <v>Infant / Toddler</v>
      </c>
    </row>
    <row r="89" spans="1:11" x14ac:dyDescent="0.25">
      <c r="A89" t="s">
        <v>114</v>
      </c>
      <c r="B89" t="s">
        <v>15</v>
      </c>
      <c r="C89" t="s">
        <v>41</v>
      </c>
      <c r="D89" t="s">
        <v>12</v>
      </c>
      <c r="E89" t="s">
        <v>18</v>
      </c>
      <c r="F89">
        <v>37</v>
      </c>
      <c r="G89">
        <v>8578.83</v>
      </c>
      <c r="H89">
        <v>2</v>
      </c>
      <c r="I89">
        <v>90</v>
      </c>
      <c r="J89" t="str">
        <f t="shared" si="4"/>
        <v>Low Cost</v>
      </c>
      <c r="K89" t="str">
        <f t="shared" si="5"/>
        <v>Adult</v>
      </c>
    </row>
    <row r="90" spans="1:11" x14ac:dyDescent="0.25">
      <c r="A90" t="s">
        <v>115</v>
      </c>
      <c r="B90" t="s">
        <v>36</v>
      </c>
      <c r="C90" t="s">
        <v>11</v>
      </c>
      <c r="D90" t="s">
        <v>17</v>
      </c>
      <c r="E90" t="s">
        <v>18</v>
      </c>
      <c r="F90">
        <v>7</v>
      </c>
      <c r="G90">
        <v>22311.39</v>
      </c>
      <c r="H90">
        <v>14</v>
      </c>
      <c r="I90">
        <v>86</v>
      </c>
      <c r="J90" t="str">
        <f t="shared" si="4"/>
        <v>Low Cost</v>
      </c>
      <c r="K90" t="str">
        <f t="shared" si="5"/>
        <v>Child</v>
      </c>
    </row>
    <row r="91" spans="1:11" x14ac:dyDescent="0.25">
      <c r="A91" t="s">
        <v>116</v>
      </c>
      <c r="B91" t="s">
        <v>25</v>
      </c>
      <c r="C91" t="s">
        <v>41</v>
      </c>
      <c r="D91" t="s">
        <v>12</v>
      </c>
      <c r="E91" t="s">
        <v>29</v>
      </c>
      <c r="F91">
        <v>46</v>
      </c>
      <c r="G91">
        <v>128560.01</v>
      </c>
      <c r="H91">
        <v>7</v>
      </c>
      <c r="I91">
        <v>52</v>
      </c>
      <c r="J91" t="str">
        <f t="shared" si="4"/>
        <v>high cost</v>
      </c>
      <c r="K91" t="str">
        <f t="shared" si="5"/>
        <v>Middle-aged</v>
      </c>
    </row>
    <row r="92" spans="1:11" x14ac:dyDescent="0.25">
      <c r="A92" t="s">
        <v>117</v>
      </c>
      <c r="B92" t="s">
        <v>31</v>
      </c>
      <c r="C92" t="s">
        <v>11</v>
      </c>
      <c r="D92" t="s">
        <v>23</v>
      </c>
      <c r="E92" t="s">
        <v>29</v>
      </c>
      <c r="F92">
        <v>30</v>
      </c>
      <c r="G92">
        <v>147742.63</v>
      </c>
      <c r="H92">
        <v>28</v>
      </c>
      <c r="I92">
        <v>62</v>
      </c>
      <c r="J92" t="str">
        <f t="shared" si="4"/>
        <v>high cost</v>
      </c>
      <c r="K92" t="str">
        <f t="shared" si="5"/>
        <v>Adult</v>
      </c>
    </row>
    <row r="93" spans="1:11" x14ac:dyDescent="0.25">
      <c r="A93" t="s">
        <v>118</v>
      </c>
      <c r="B93" t="s">
        <v>15</v>
      </c>
      <c r="C93" t="s">
        <v>11</v>
      </c>
      <c r="D93" t="s">
        <v>17</v>
      </c>
      <c r="E93" t="s">
        <v>29</v>
      </c>
      <c r="F93">
        <v>66</v>
      </c>
      <c r="G93">
        <v>54562.1</v>
      </c>
      <c r="H93">
        <v>21</v>
      </c>
      <c r="I93">
        <v>86</v>
      </c>
      <c r="J93" t="str">
        <f t="shared" si="4"/>
        <v>Low Cost</v>
      </c>
      <c r="K93" t="str">
        <f t="shared" si="5"/>
        <v>Senior</v>
      </c>
    </row>
    <row r="94" spans="1:11" x14ac:dyDescent="0.25">
      <c r="A94" t="s">
        <v>119</v>
      </c>
      <c r="B94" t="s">
        <v>36</v>
      </c>
      <c r="C94" t="s">
        <v>28</v>
      </c>
      <c r="D94" t="s">
        <v>23</v>
      </c>
      <c r="E94" t="s">
        <v>29</v>
      </c>
      <c r="F94">
        <v>1</v>
      </c>
      <c r="G94">
        <v>146289.26999999999</v>
      </c>
      <c r="H94">
        <v>17</v>
      </c>
      <c r="I94">
        <v>47</v>
      </c>
      <c r="J94" t="str">
        <f t="shared" si="4"/>
        <v>high cost</v>
      </c>
      <c r="K94" t="str">
        <f t="shared" si="5"/>
        <v>Infant / Toddler</v>
      </c>
    </row>
    <row r="95" spans="1:11" x14ac:dyDescent="0.25">
      <c r="A95" t="s">
        <v>120</v>
      </c>
      <c r="B95" t="s">
        <v>31</v>
      </c>
      <c r="C95" t="s">
        <v>41</v>
      </c>
      <c r="D95" t="s">
        <v>32</v>
      </c>
      <c r="E95" t="s">
        <v>29</v>
      </c>
      <c r="F95">
        <v>89</v>
      </c>
      <c r="G95">
        <v>128840.81</v>
      </c>
      <c r="H95">
        <v>22</v>
      </c>
      <c r="I95">
        <v>81</v>
      </c>
      <c r="J95" t="str">
        <f t="shared" si="4"/>
        <v>high cost</v>
      </c>
      <c r="K95" t="str">
        <f t="shared" si="5"/>
        <v>Elderly</v>
      </c>
    </row>
    <row r="96" spans="1:11" x14ac:dyDescent="0.25">
      <c r="A96" t="s">
        <v>121</v>
      </c>
      <c r="B96" t="s">
        <v>22</v>
      </c>
      <c r="C96" t="s">
        <v>16</v>
      </c>
      <c r="D96" t="s">
        <v>17</v>
      </c>
      <c r="E96" t="s">
        <v>29</v>
      </c>
      <c r="F96">
        <v>48</v>
      </c>
      <c r="G96">
        <v>19629.22</v>
      </c>
      <c r="H96">
        <v>2</v>
      </c>
      <c r="I96">
        <v>95</v>
      </c>
      <c r="J96" t="str">
        <f t="shared" si="4"/>
        <v>Low Cost</v>
      </c>
      <c r="K96" t="str">
        <f t="shared" si="5"/>
        <v>Middle-aged</v>
      </c>
    </row>
    <row r="97" spans="1:11" x14ac:dyDescent="0.25">
      <c r="A97" t="s">
        <v>122</v>
      </c>
      <c r="B97" t="s">
        <v>31</v>
      </c>
      <c r="C97" t="s">
        <v>28</v>
      </c>
      <c r="D97" t="s">
        <v>32</v>
      </c>
      <c r="E97" t="s">
        <v>13</v>
      </c>
      <c r="F97">
        <v>59</v>
      </c>
      <c r="G97">
        <v>73629.03</v>
      </c>
      <c r="H97">
        <v>10</v>
      </c>
      <c r="I97">
        <v>85</v>
      </c>
      <c r="J97" t="str">
        <f t="shared" si="4"/>
        <v>Low Cost</v>
      </c>
      <c r="K97" t="str">
        <f t="shared" si="5"/>
        <v>Middle-aged</v>
      </c>
    </row>
    <row r="98" spans="1:11" x14ac:dyDescent="0.25">
      <c r="A98" t="s">
        <v>123</v>
      </c>
      <c r="B98" t="s">
        <v>25</v>
      </c>
      <c r="C98" t="s">
        <v>16</v>
      </c>
      <c r="D98" t="s">
        <v>32</v>
      </c>
      <c r="E98" t="s">
        <v>29</v>
      </c>
      <c r="F98">
        <v>54</v>
      </c>
      <c r="G98">
        <v>100747.7</v>
      </c>
      <c r="H98">
        <v>12</v>
      </c>
      <c r="I98">
        <v>74</v>
      </c>
      <c r="J98" t="str">
        <f t="shared" ref="J98:J129" si="6">IF(G98&gt;75000,"high cost","Low Cost")</f>
        <v>high cost</v>
      </c>
      <c r="K98" t="str">
        <f t="shared" ref="K98:K129" si="7">IF(F98&lt;=5,"Infant / Toddler",
IF(F98&lt;=12,"Child",
IF(F98&lt;=19,"Teenager",
IF(F98&lt;=29,"Young Adult",
IF(F98&lt;=44,"Adult",
IF(F98&lt;=59,"Middle-aged",
IF(F98&lt;=74,"Senior","Elderly")))))))</f>
        <v>Middle-aged</v>
      </c>
    </row>
    <row r="99" spans="1:11" x14ac:dyDescent="0.25">
      <c r="A99" t="s">
        <v>124</v>
      </c>
      <c r="B99" t="s">
        <v>15</v>
      </c>
      <c r="C99" t="s">
        <v>11</v>
      </c>
      <c r="D99" t="s">
        <v>12</v>
      </c>
      <c r="E99" t="s">
        <v>29</v>
      </c>
      <c r="F99">
        <v>35</v>
      </c>
      <c r="G99">
        <v>85523.17</v>
      </c>
      <c r="H99">
        <v>30</v>
      </c>
      <c r="I99">
        <v>90</v>
      </c>
      <c r="J99" t="str">
        <f t="shared" si="6"/>
        <v>high cost</v>
      </c>
      <c r="K99" t="str">
        <f t="shared" si="7"/>
        <v>Adult</v>
      </c>
    </row>
    <row r="100" spans="1:11" x14ac:dyDescent="0.25">
      <c r="A100" t="s">
        <v>125</v>
      </c>
      <c r="B100" t="s">
        <v>31</v>
      </c>
      <c r="C100" t="s">
        <v>16</v>
      </c>
      <c r="D100" t="s">
        <v>23</v>
      </c>
      <c r="E100" t="s">
        <v>29</v>
      </c>
      <c r="F100">
        <v>33</v>
      </c>
      <c r="G100">
        <v>79151.14</v>
      </c>
      <c r="H100">
        <v>2</v>
      </c>
      <c r="I100">
        <v>56</v>
      </c>
      <c r="J100" t="str">
        <f t="shared" si="6"/>
        <v>high cost</v>
      </c>
      <c r="K100" t="str">
        <f t="shared" si="7"/>
        <v>Adult</v>
      </c>
    </row>
    <row r="101" spans="1:11" x14ac:dyDescent="0.25">
      <c r="A101" t="s">
        <v>126</v>
      </c>
      <c r="B101" t="s">
        <v>36</v>
      </c>
      <c r="C101" t="s">
        <v>11</v>
      </c>
      <c r="D101" t="s">
        <v>23</v>
      </c>
      <c r="E101" t="s">
        <v>13</v>
      </c>
      <c r="F101">
        <v>30</v>
      </c>
      <c r="G101">
        <v>115395.67</v>
      </c>
      <c r="H101">
        <v>11</v>
      </c>
      <c r="I101">
        <v>74</v>
      </c>
      <c r="J101" t="str">
        <f t="shared" si="6"/>
        <v>high cost</v>
      </c>
      <c r="K101" t="str">
        <f t="shared" si="7"/>
        <v>Adult</v>
      </c>
    </row>
    <row r="102" spans="1:11" x14ac:dyDescent="0.25">
      <c r="A102" t="s">
        <v>127</v>
      </c>
      <c r="B102" t="s">
        <v>22</v>
      </c>
      <c r="C102" t="s">
        <v>28</v>
      </c>
      <c r="D102" t="s">
        <v>12</v>
      </c>
      <c r="E102" t="s">
        <v>13</v>
      </c>
      <c r="F102">
        <v>60</v>
      </c>
      <c r="G102">
        <v>49131.44</v>
      </c>
      <c r="H102">
        <v>2</v>
      </c>
      <c r="I102">
        <v>44</v>
      </c>
      <c r="J102" t="str">
        <f t="shared" si="6"/>
        <v>Low Cost</v>
      </c>
      <c r="K102" t="str">
        <f t="shared" si="7"/>
        <v>Senior</v>
      </c>
    </row>
    <row r="103" spans="1:11" x14ac:dyDescent="0.25">
      <c r="A103" t="s">
        <v>128</v>
      </c>
      <c r="B103" t="s">
        <v>31</v>
      </c>
      <c r="C103" t="s">
        <v>11</v>
      </c>
      <c r="D103" t="s">
        <v>23</v>
      </c>
      <c r="E103" t="s">
        <v>29</v>
      </c>
      <c r="F103">
        <v>70</v>
      </c>
      <c r="G103">
        <v>58132.5</v>
      </c>
      <c r="H103">
        <v>25</v>
      </c>
      <c r="I103">
        <v>43</v>
      </c>
      <c r="J103" t="str">
        <f t="shared" si="6"/>
        <v>Low Cost</v>
      </c>
      <c r="K103" t="str">
        <f t="shared" si="7"/>
        <v>Senior</v>
      </c>
    </row>
    <row r="104" spans="1:11" x14ac:dyDescent="0.25">
      <c r="A104" t="s">
        <v>129</v>
      </c>
      <c r="B104" t="s">
        <v>36</v>
      </c>
      <c r="C104" t="s">
        <v>41</v>
      </c>
      <c r="D104" t="s">
        <v>12</v>
      </c>
      <c r="E104" t="s">
        <v>13</v>
      </c>
      <c r="F104">
        <v>6</v>
      </c>
      <c r="G104">
        <v>77311.77</v>
      </c>
      <c r="H104">
        <v>19</v>
      </c>
      <c r="I104">
        <v>90</v>
      </c>
      <c r="J104" t="str">
        <f t="shared" si="6"/>
        <v>high cost</v>
      </c>
      <c r="K104" t="str">
        <f t="shared" si="7"/>
        <v>Child</v>
      </c>
    </row>
    <row r="105" spans="1:11" x14ac:dyDescent="0.25">
      <c r="A105" t="s">
        <v>130</v>
      </c>
      <c r="B105" t="s">
        <v>25</v>
      </c>
      <c r="C105" t="s">
        <v>28</v>
      </c>
      <c r="D105" t="s">
        <v>32</v>
      </c>
      <c r="E105" t="s">
        <v>29</v>
      </c>
      <c r="F105">
        <v>70</v>
      </c>
      <c r="G105">
        <v>14270.62</v>
      </c>
      <c r="H105">
        <v>24</v>
      </c>
      <c r="I105">
        <v>43</v>
      </c>
      <c r="J105" t="str">
        <f t="shared" si="6"/>
        <v>Low Cost</v>
      </c>
      <c r="K105" t="str">
        <f t="shared" si="7"/>
        <v>Senior</v>
      </c>
    </row>
    <row r="106" spans="1:11" x14ac:dyDescent="0.25">
      <c r="A106" t="s">
        <v>131</v>
      </c>
      <c r="B106" t="s">
        <v>15</v>
      </c>
      <c r="C106" t="s">
        <v>28</v>
      </c>
      <c r="D106" t="s">
        <v>26</v>
      </c>
      <c r="E106" t="s">
        <v>13</v>
      </c>
      <c r="F106">
        <v>52</v>
      </c>
      <c r="G106">
        <v>97685.72</v>
      </c>
      <c r="H106">
        <v>28</v>
      </c>
      <c r="I106">
        <v>59</v>
      </c>
      <c r="J106" t="str">
        <f t="shared" si="6"/>
        <v>high cost</v>
      </c>
      <c r="K106" t="str">
        <f t="shared" si="7"/>
        <v>Middle-aged</v>
      </c>
    </row>
    <row r="107" spans="1:11" x14ac:dyDescent="0.25">
      <c r="A107" t="s">
        <v>132</v>
      </c>
      <c r="B107" t="s">
        <v>10</v>
      </c>
      <c r="C107" t="s">
        <v>16</v>
      </c>
      <c r="D107" t="s">
        <v>23</v>
      </c>
      <c r="E107" t="s">
        <v>18</v>
      </c>
      <c r="F107">
        <v>64</v>
      </c>
      <c r="G107">
        <v>142687.47</v>
      </c>
      <c r="H107">
        <v>27</v>
      </c>
      <c r="I107">
        <v>80</v>
      </c>
      <c r="J107" t="str">
        <f t="shared" si="6"/>
        <v>high cost</v>
      </c>
      <c r="K107" t="str">
        <f t="shared" si="7"/>
        <v>Senior</v>
      </c>
    </row>
    <row r="108" spans="1:11" x14ac:dyDescent="0.25">
      <c r="A108" t="s">
        <v>133</v>
      </c>
      <c r="B108" t="s">
        <v>31</v>
      </c>
      <c r="C108" t="s">
        <v>28</v>
      </c>
      <c r="D108" t="s">
        <v>17</v>
      </c>
      <c r="E108" t="s">
        <v>29</v>
      </c>
      <c r="F108">
        <v>35</v>
      </c>
      <c r="G108">
        <v>36754.51</v>
      </c>
      <c r="H108">
        <v>27</v>
      </c>
      <c r="I108">
        <v>49</v>
      </c>
      <c r="J108" t="str">
        <f t="shared" si="6"/>
        <v>Low Cost</v>
      </c>
      <c r="K108" t="str">
        <f t="shared" si="7"/>
        <v>Adult</v>
      </c>
    </row>
    <row r="109" spans="1:11" x14ac:dyDescent="0.25">
      <c r="A109" t="s">
        <v>134</v>
      </c>
      <c r="B109" t="s">
        <v>15</v>
      </c>
      <c r="C109" t="s">
        <v>16</v>
      </c>
      <c r="D109" t="s">
        <v>17</v>
      </c>
      <c r="E109" t="s">
        <v>29</v>
      </c>
      <c r="F109">
        <v>62</v>
      </c>
      <c r="G109">
        <v>34938.57</v>
      </c>
      <c r="H109">
        <v>8</v>
      </c>
      <c r="I109">
        <v>70</v>
      </c>
      <c r="J109" t="str">
        <f t="shared" si="6"/>
        <v>Low Cost</v>
      </c>
      <c r="K109" t="str">
        <f t="shared" si="7"/>
        <v>Senior</v>
      </c>
    </row>
    <row r="110" spans="1:11" x14ac:dyDescent="0.25">
      <c r="A110" t="s">
        <v>135</v>
      </c>
      <c r="B110" t="s">
        <v>22</v>
      </c>
      <c r="C110" t="s">
        <v>28</v>
      </c>
      <c r="D110" t="s">
        <v>12</v>
      </c>
      <c r="E110" t="s">
        <v>13</v>
      </c>
      <c r="F110">
        <v>22</v>
      </c>
      <c r="G110">
        <v>97228.49</v>
      </c>
      <c r="H110">
        <v>7</v>
      </c>
      <c r="I110">
        <v>60</v>
      </c>
      <c r="J110" t="str">
        <f t="shared" si="6"/>
        <v>high cost</v>
      </c>
      <c r="K110" t="str">
        <f t="shared" si="7"/>
        <v>Young Adult</v>
      </c>
    </row>
    <row r="111" spans="1:11" x14ac:dyDescent="0.25">
      <c r="A111" t="s">
        <v>136</v>
      </c>
      <c r="B111" t="s">
        <v>25</v>
      </c>
      <c r="C111" t="s">
        <v>28</v>
      </c>
      <c r="D111" t="s">
        <v>17</v>
      </c>
      <c r="E111" t="s">
        <v>13</v>
      </c>
      <c r="F111">
        <v>42</v>
      </c>
      <c r="G111">
        <v>91441.1</v>
      </c>
      <c r="H111">
        <v>22</v>
      </c>
      <c r="I111">
        <v>84</v>
      </c>
      <c r="J111" t="str">
        <f t="shared" si="6"/>
        <v>high cost</v>
      </c>
      <c r="K111" t="str">
        <f t="shared" si="7"/>
        <v>Adult</v>
      </c>
    </row>
    <row r="112" spans="1:11" x14ac:dyDescent="0.25">
      <c r="A112" t="s">
        <v>137</v>
      </c>
      <c r="B112" t="s">
        <v>10</v>
      </c>
      <c r="C112" t="s">
        <v>41</v>
      </c>
      <c r="D112" t="s">
        <v>32</v>
      </c>
      <c r="E112" t="s">
        <v>13</v>
      </c>
      <c r="F112">
        <v>24</v>
      </c>
      <c r="G112">
        <v>139624.06</v>
      </c>
      <c r="H112">
        <v>5</v>
      </c>
      <c r="I112">
        <v>55</v>
      </c>
      <c r="J112" t="str">
        <f t="shared" si="6"/>
        <v>high cost</v>
      </c>
      <c r="K112" t="str">
        <f t="shared" si="7"/>
        <v>Young Adult</v>
      </c>
    </row>
    <row r="113" spans="1:11" x14ac:dyDescent="0.25">
      <c r="A113" t="s">
        <v>138</v>
      </c>
      <c r="B113" t="s">
        <v>25</v>
      </c>
      <c r="C113" t="s">
        <v>16</v>
      </c>
      <c r="D113" t="s">
        <v>12</v>
      </c>
      <c r="E113" t="s">
        <v>29</v>
      </c>
      <c r="F113">
        <v>17</v>
      </c>
      <c r="G113">
        <v>86650.5</v>
      </c>
      <c r="H113">
        <v>3</v>
      </c>
      <c r="I113">
        <v>53</v>
      </c>
      <c r="J113" t="str">
        <f t="shared" si="6"/>
        <v>high cost</v>
      </c>
      <c r="K113" t="str">
        <f t="shared" si="7"/>
        <v>Teenager</v>
      </c>
    </row>
    <row r="114" spans="1:11" x14ac:dyDescent="0.25">
      <c r="A114" t="s">
        <v>139</v>
      </c>
      <c r="B114" t="s">
        <v>31</v>
      </c>
      <c r="C114" t="s">
        <v>11</v>
      </c>
      <c r="D114" t="s">
        <v>17</v>
      </c>
      <c r="E114" t="s">
        <v>18</v>
      </c>
      <c r="F114">
        <v>75</v>
      </c>
      <c r="G114">
        <v>85517.09</v>
      </c>
      <c r="H114">
        <v>6</v>
      </c>
      <c r="I114">
        <v>79</v>
      </c>
      <c r="J114" t="str">
        <f t="shared" si="6"/>
        <v>high cost</v>
      </c>
      <c r="K114" t="str">
        <f t="shared" si="7"/>
        <v>Elderly</v>
      </c>
    </row>
    <row r="115" spans="1:11" x14ac:dyDescent="0.25">
      <c r="A115" t="s">
        <v>140</v>
      </c>
      <c r="B115" t="s">
        <v>10</v>
      </c>
      <c r="C115" t="s">
        <v>11</v>
      </c>
      <c r="D115" t="s">
        <v>17</v>
      </c>
      <c r="E115" t="s">
        <v>13</v>
      </c>
      <c r="F115">
        <v>47</v>
      </c>
      <c r="G115">
        <v>134120.62</v>
      </c>
      <c r="H115">
        <v>11</v>
      </c>
      <c r="I115">
        <v>92</v>
      </c>
      <c r="J115" t="str">
        <f t="shared" si="6"/>
        <v>high cost</v>
      </c>
      <c r="K115" t="str">
        <f t="shared" si="7"/>
        <v>Middle-aged</v>
      </c>
    </row>
    <row r="116" spans="1:11" x14ac:dyDescent="0.25">
      <c r="A116" t="s">
        <v>141</v>
      </c>
      <c r="B116" t="s">
        <v>22</v>
      </c>
      <c r="C116" t="s">
        <v>41</v>
      </c>
      <c r="D116" t="s">
        <v>23</v>
      </c>
      <c r="E116" t="s">
        <v>29</v>
      </c>
      <c r="F116">
        <v>81</v>
      </c>
      <c r="G116">
        <v>22593.06</v>
      </c>
      <c r="H116">
        <v>6</v>
      </c>
      <c r="I116">
        <v>67</v>
      </c>
      <c r="J116" t="str">
        <f t="shared" si="6"/>
        <v>Low Cost</v>
      </c>
      <c r="K116" t="str">
        <f t="shared" si="7"/>
        <v>Elderly</v>
      </c>
    </row>
    <row r="117" spans="1:11" x14ac:dyDescent="0.25">
      <c r="A117" t="s">
        <v>142</v>
      </c>
      <c r="B117" t="s">
        <v>10</v>
      </c>
      <c r="C117" t="s">
        <v>28</v>
      </c>
      <c r="D117" t="s">
        <v>23</v>
      </c>
      <c r="E117" t="s">
        <v>18</v>
      </c>
      <c r="F117">
        <v>20</v>
      </c>
      <c r="G117">
        <v>88741.64</v>
      </c>
      <c r="H117">
        <v>26</v>
      </c>
      <c r="I117">
        <v>99</v>
      </c>
      <c r="J117" t="str">
        <f t="shared" si="6"/>
        <v>high cost</v>
      </c>
      <c r="K117" t="str">
        <f t="shared" si="7"/>
        <v>Young Adult</v>
      </c>
    </row>
    <row r="118" spans="1:11" x14ac:dyDescent="0.25">
      <c r="A118" t="s">
        <v>143</v>
      </c>
      <c r="B118" t="s">
        <v>10</v>
      </c>
      <c r="C118" t="s">
        <v>16</v>
      </c>
      <c r="D118" t="s">
        <v>17</v>
      </c>
      <c r="E118" t="s">
        <v>18</v>
      </c>
      <c r="F118">
        <v>14</v>
      </c>
      <c r="G118">
        <v>10917.19</v>
      </c>
      <c r="H118">
        <v>22</v>
      </c>
      <c r="I118">
        <v>43</v>
      </c>
      <c r="J118" t="str">
        <f t="shared" si="6"/>
        <v>Low Cost</v>
      </c>
      <c r="K118" t="str">
        <f t="shared" si="7"/>
        <v>Teenager</v>
      </c>
    </row>
    <row r="119" spans="1:11" x14ac:dyDescent="0.25">
      <c r="A119" t="s">
        <v>144</v>
      </c>
      <c r="B119" t="s">
        <v>10</v>
      </c>
      <c r="C119" t="s">
        <v>41</v>
      </c>
      <c r="D119" t="s">
        <v>32</v>
      </c>
      <c r="E119" t="s">
        <v>13</v>
      </c>
      <c r="F119">
        <v>30</v>
      </c>
      <c r="G119">
        <v>97613.71</v>
      </c>
      <c r="H119">
        <v>24</v>
      </c>
      <c r="I119">
        <v>72</v>
      </c>
      <c r="J119" t="str">
        <f t="shared" si="6"/>
        <v>high cost</v>
      </c>
      <c r="K119" t="str">
        <f t="shared" si="7"/>
        <v>Adult</v>
      </c>
    </row>
    <row r="120" spans="1:11" x14ac:dyDescent="0.25">
      <c r="A120" t="s">
        <v>145</v>
      </c>
      <c r="B120" t="s">
        <v>36</v>
      </c>
      <c r="C120" t="s">
        <v>41</v>
      </c>
      <c r="D120" t="s">
        <v>23</v>
      </c>
      <c r="E120" t="s">
        <v>13</v>
      </c>
      <c r="F120">
        <v>81</v>
      </c>
      <c r="G120">
        <v>135711.26999999999</v>
      </c>
      <c r="H120">
        <v>14</v>
      </c>
      <c r="I120">
        <v>99</v>
      </c>
      <c r="J120" t="str">
        <f t="shared" si="6"/>
        <v>high cost</v>
      </c>
      <c r="K120" t="str">
        <f t="shared" si="7"/>
        <v>Elderly</v>
      </c>
    </row>
    <row r="121" spans="1:11" x14ac:dyDescent="0.25">
      <c r="A121" t="s">
        <v>146</v>
      </c>
      <c r="B121" t="s">
        <v>15</v>
      </c>
      <c r="C121" t="s">
        <v>16</v>
      </c>
      <c r="D121" t="s">
        <v>23</v>
      </c>
      <c r="E121" t="s">
        <v>13</v>
      </c>
      <c r="F121">
        <v>48</v>
      </c>
      <c r="G121">
        <v>117464.18</v>
      </c>
      <c r="H121">
        <v>2</v>
      </c>
      <c r="I121">
        <v>61</v>
      </c>
      <c r="J121" t="str">
        <f t="shared" si="6"/>
        <v>high cost</v>
      </c>
      <c r="K121" t="str">
        <f t="shared" si="7"/>
        <v>Middle-aged</v>
      </c>
    </row>
    <row r="122" spans="1:11" x14ac:dyDescent="0.25">
      <c r="A122" t="s">
        <v>147</v>
      </c>
      <c r="B122" t="s">
        <v>22</v>
      </c>
      <c r="C122" t="s">
        <v>16</v>
      </c>
      <c r="D122" t="s">
        <v>23</v>
      </c>
      <c r="E122" t="s">
        <v>29</v>
      </c>
      <c r="F122">
        <v>45</v>
      </c>
      <c r="G122">
        <v>89474.55</v>
      </c>
      <c r="H122">
        <v>21</v>
      </c>
      <c r="I122">
        <v>64</v>
      </c>
      <c r="J122" t="str">
        <f t="shared" si="6"/>
        <v>high cost</v>
      </c>
      <c r="K122" t="str">
        <f t="shared" si="7"/>
        <v>Middle-aged</v>
      </c>
    </row>
    <row r="123" spans="1:11" x14ac:dyDescent="0.25">
      <c r="A123" t="s">
        <v>148</v>
      </c>
      <c r="B123" t="s">
        <v>10</v>
      </c>
      <c r="C123" t="s">
        <v>41</v>
      </c>
      <c r="D123" t="s">
        <v>32</v>
      </c>
      <c r="E123" t="s">
        <v>29</v>
      </c>
      <c r="F123">
        <v>1</v>
      </c>
      <c r="G123">
        <v>105954.09</v>
      </c>
      <c r="H123">
        <v>12</v>
      </c>
      <c r="I123">
        <v>95</v>
      </c>
      <c r="J123" t="str">
        <f t="shared" si="6"/>
        <v>high cost</v>
      </c>
      <c r="K123" t="str">
        <f t="shared" si="7"/>
        <v>Infant / Toddler</v>
      </c>
    </row>
    <row r="124" spans="1:11" x14ac:dyDescent="0.25">
      <c r="A124" t="s">
        <v>149</v>
      </c>
      <c r="B124" t="s">
        <v>15</v>
      </c>
      <c r="C124" t="s">
        <v>28</v>
      </c>
      <c r="D124" t="s">
        <v>26</v>
      </c>
      <c r="E124" t="s">
        <v>13</v>
      </c>
      <c r="F124">
        <v>30</v>
      </c>
      <c r="G124">
        <v>91267.91</v>
      </c>
      <c r="H124">
        <v>17</v>
      </c>
      <c r="I124">
        <v>76</v>
      </c>
      <c r="J124" t="str">
        <f t="shared" si="6"/>
        <v>high cost</v>
      </c>
      <c r="K124" t="str">
        <f t="shared" si="7"/>
        <v>Adult</v>
      </c>
    </row>
    <row r="125" spans="1:11" x14ac:dyDescent="0.25">
      <c r="A125" t="s">
        <v>150</v>
      </c>
      <c r="B125" t="s">
        <v>36</v>
      </c>
      <c r="C125" t="s">
        <v>11</v>
      </c>
      <c r="D125" t="s">
        <v>26</v>
      </c>
      <c r="E125" t="s">
        <v>13</v>
      </c>
      <c r="F125">
        <v>3</v>
      </c>
      <c r="G125">
        <v>46506.94</v>
      </c>
      <c r="H125">
        <v>9</v>
      </c>
      <c r="I125">
        <v>72</v>
      </c>
      <c r="J125" t="str">
        <f t="shared" si="6"/>
        <v>Low Cost</v>
      </c>
      <c r="K125" t="str">
        <f t="shared" si="7"/>
        <v>Infant / Toddler</v>
      </c>
    </row>
    <row r="126" spans="1:11" x14ac:dyDescent="0.25">
      <c r="A126" t="s">
        <v>151</v>
      </c>
      <c r="B126" t="s">
        <v>31</v>
      </c>
      <c r="C126" t="s">
        <v>41</v>
      </c>
      <c r="D126" t="s">
        <v>17</v>
      </c>
      <c r="E126" t="s">
        <v>13</v>
      </c>
      <c r="F126">
        <v>78</v>
      </c>
      <c r="G126">
        <v>40568.300000000003</v>
      </c>
      <c r="H126">
        <v>18</v>
      </c>
      <c r="I126">
        <v>91</v>
      </c>
      <c r="J126" t="str">
        <f t="shared" si="6"/>
        <v>Low Cost</v>
      </c>
      <c r="K126" t="str">
        <f t="shared" si="7"/>
        <v>Elderly</v>
      </c>
    </row>
    <row r="127" spans="1:11" x14ac:dyDescent="0.25">
      <c r="A127" t="s">
        <v>152</v>
      </c>
      <c r="B127" t="s">
        <v>22</v>
      </c>
      <c r="C127" t="s">
        <v>11</v>
      </c>
      <c r="D127" t="s">
        <v>32</v>
      </c>
      <c r="E127" t="s">
        <v>18</v>
      </c>
      <c r="F127">
        <v>35</v>
      </c>
      <c r="G127">
        <v>132265.98000000001</v>
      </c>
      <c r="H127">
        <v>7</v>
      </c>
      <c r="I127">
        <v>45</v>
      </c>
      <c r="J127" t="str">
        <f t="shared" si="6"/>
        <v>high cost</v>
      </c>
      <c r="K127" t="str">
        <f t="shared" si="7"/>
        <v>Adult</v>
      </c>
    </row>
    <row r="128" spans="1:11" x14ac:dyDescent="0.25">
      <c r="A128" t="s">
        <v>153</v>
      </c>
      <c r="B128" t="s">
        <v>15</v>
      </c>
      <c r="C128" t="s">
        <v>41</v>
      </c>
      <c r="D128" t="s">
        <v>23</v>
      </c>
      <c r="E128" t="s">
        <v>18</v>
      </c>
      <c r="F128">
        <v>88</v>
      </c>
      <c r="G128">
        <v>50993.47</v>
      </c>
      <c r="H128">
        <v>4</v>
      </c>
      <c r="I128">
        <v>82</v>
      </c>
      <c r="J128" t="str">
        <f t="shared" si="6"/>
        <v>Low Cost</v>
      </c>
      <c r="K128" t="str">
        <f t="shared" si="7"/>
        <v>Elderly</v>
      </c>
    </row>
    <row r="129" spans="1:11" x14ac:dyDescent="0.25">
      <c r="A129" t="s">
        <v>154</v>
      </c>
      <c r="B129" t="s">
        <v>22</v>
      </c>
      <c r="C129" t="s">
        <v>41</v>
      </c>
      <c r="D129" t="s">
        <v>17</v>
      </c>
      <c r="E129" t="s">
        <v>18</v>
      </c>
      <c r="F129">
        <v>7</v>
      </c>
      <c r="G129">
        <v>135590.48000000001</v>
      </c>
      <c r="H129">
        <v>6</v>
      </c>
      <c r="I129">
        <v>46</v>
      </c>
      <c r="J129" t="str">
        <f t="shared" si="6"/>
        <v>high cost</v>
      </c>
      <c r="K129" t="str">
        <f t="shared" si="7"/>
        <v>Child</v>
      </c>
    </row>
    <row r="130" spans="1:11" x14ac:dyDescent="0.25">
      <c r="A130" t="s">
        <v>155</v>
      </c>
      <c r="B130" t="s">
        <v>15</v>
      </c>
      <c r="C130" t="s">
        <v>41</v>
      </c>
      <c r="D130" t="s">
        <v>32</v>
      </c>
      <c r="E130" t="s">
        <v>13</v>
      </c>
      <c r="F130">
        <v>73</v>
      </c>
      <c r="G130">
        <v>148956.56</v>
      </c>
      <c r="H130">
        <v>6</v>
      </c>
      <c r="I130">
        <v>100</v>
      </c>
      <c r="J130" t="str">
        <f t="shared" ref="J130:J161" si="8">IF(G130&gt;75000,"high cost","Low Cost")</f>
        <v>high cost</v>
      </c>
      <c r="K130" t="str">
        <f t="shared" ref="K130:K161" si="9">IF(F130&lt;=5,"Infant / Toddler",
IF(F130&lt;=12,"Child",
IF(F130&lt;=19,"Teenager",
IF(F130&lt;=29,"Young Adult",
IF(F130&lt;=44,"Adult",
IF(F130&lt;=59,"Middle-aged",
IF(F130&lt;=74,"Senior","Elderly")))))))</f>
        <v>Senior</v>
      </c>
    </row>
    <row r="131" spans="1:11" x14ac:dyDescent="0.25">
      <c r="A131" t="s">
        <v>156</v>
      </c>
      <c r="B131" t="s">
        <v>25</v>
      </c>
      <c r="C131" t="s">
        <v>16</v>
      </c>
      <c r="D131" t="s">
        <v>12</v>
      </c>
      <c r="E131" t="s">
        <v>18</v>
      </c>
      <c r="F131">
        <v>83</v>
      </c>
      <c r="G131">
        <v>71584.960000000006</v>
      </c>
      <c r="H131">
        <v>26</v>
      </c>
      <c r="I131">
        <v>55</v>
      </c>
      <c r="J131" t="str">
        <f t="shared" si="8"/>
        <v>Low Cost</v>
      </c>
      <c r="K131" t="str">
        <f t="shared" si="9"/>
        <v>Elderly</v>
      </c>
    </row>
    <row r="132" spans="1:11" x14ac:dyDescent="0.25">
      <c r="A132" t="s">
        <v>157</v>
      </c>
      <c r="B132" t="s">
        <v>22</v>
      </c>
      <c r="C132" t="s">
        <v>28</v>
      </c>
      <c r="D132" t="s">
        <v>17</v>
      </c>
      <c r="E132" t="s">
        <v>29</v>
      </c>
      <c r="F132">
        <v>37</v>
      </c>
      <c r="G132">
        <v>78613.16</v>
      </c>
      <c r="H132">
        <v>20</v>
      </c>
      <c r="I132">
        <v>85</v>
      </c>
      <c r="J132" t="str">
        <f t="shared" si="8"/>
        <v>high cost</v>
      </c>
      <c r="K132" t="str">
        <f t="shared" si="9"/>
        <v>Adult</v>
      </c>
    </row>
    <row r="133" spans="1:11" x14ac:dyDescent="0.25">
      <c r="A133" t="s">
        <v>158</v>
      </c>
      <c r="B133" t="s">
        <v>22</v>
      </c>
      <c r="C133" t="s">
        <v>11</v>
      </c>
      <c r="D133" t="s">
        <v>23</v>
      </c>
      <c r="E133" t="s">
        <v>18</v>
      </c>
      <c r="F133">
        <v>53</v>
      </c>
      <c r="G133">
        <v>103548.4</v>
      </c>
      <c r="H133">
        <v>27</v>
      </c>
      <c r="I133">
        <v>74</v>
      </c>
      <c r="J133" t="str">
        <f t="shared" si="8"/>
        <v>high cost</v>
      </c>
      <c r="K133" t="str">
        <f t="shared" si="9"/>
        <v>Middle-aged</v>
      </c>
    </row>
    <row r="134" spans="1:11" x14ac:dyDescent="0.25">
      <c r="A134" t="s">
        <v>159</v>
      </c>
      <c r="B134" t="s">
        <v>31</v>
      </c>
      <c r="C134" t="s">
        <v>11</v>
      </c>
      <c r="D134" t="s">
        <v>32</v>
      </c>
      <c r="E134" t="s">
        <v>29</v>
      </c>
      <c r="F134">
        <v>50</v>
      </c>
      <c r="G134">
        <v>62134.18</v>
      </c>
      <c r="H134">
        <v>13</v>
      </c>
      <c r="I134">
        <v>40</v>
      </c>
      <c r="J134" t="str">
        <f t="shared" si="8"/>
        <v>Low Cost</v>
      </c>
      <c r="K134" t="str">
        <f t="shared" si="9"/>
        <v>Middle-aged</v>
      </c>
    </row>
    <row r="135" spans="1:11" x14ac:dyDescent="0.25">
      <c r="A135" t="s">
        <v>160</v>
      </c>
      <c r="B135" t="s">
        <v>36</v>
      </c>
      <c r="C135" t="s">
        <v>41</v>
      </c>
      <c r="D135" t="s">
        <v>32</v>
      </c>
      <c r="E135" t="s">
        <v>18</v>
      </c>
      <c r="F135">
        <v>7</v>
      </c>
      <c r="G135">
        <v>59235.13</v>
      </c>
      <c r="H135">
        <v>12</v>
      </c>
      <c r="I135">
        <v>42</v>
      </c>
      <c r="J135" t="str">
        <f t="shared" si="8"/>
        <v>Low Cost</v>
      </c>
      <c r="K135" t="str">
        <f t="shared" si="9"/>
        <v>Child</v>
      </c>
    </row>
    <row r="136" spans="1:11" x14ac:dyDescent="0.25">
      <c r="A136" t="s">
        <v>161</v>
      </c>
      <c r="B136" t="s">
        <v>10</v>
      </c>
      <c r="C136" t="s">
        <v>28</v>
      </c>
      <c r="D136" t="s">
        <v>32</v>
      </c>
      <c r="E136" t="s">
        <v>18</v>
      </c>
      <c r="F136">
        <v>38</v>
      </c>
      <c r="G136">
        <v>118022.05</v>
      </c>
      <c r="H136">
        <v>17</v>
      </c>
      <c r="I136">
        <v>79</v>
      </c>
      <c r="J136" t="str">
        <f t="shared" si="8"/>
        <v>high cost</v>
      </c>
      <c r="K136" t="str">
        <f t="shared" si="9"/>
        <v>Adult</v>
      </c>
    </row>
    <row r="137" spans="1:11" x14ac:dyDescent="0.25">
      <c r="A137" t="s">
        <v>162</v>
      </c>
      <c r="B137" t="s">
        <v>25</v>
      </c>
      <c r="C137" t="s">
        <v>11</v>
      </c>
      <c r="D137" t="s">
        <v>26</v>
      </c>
      <c r="E137" t="s">
        <v>13</v>
      </c>
      <c r="F137">
        <v>49</v>
      </c>
      <c r="G137">
        <v>127750.62</v>
      </c>
      <c r="H137">
        <v>18</v>
      </c>
      <c r="I137">
        <v>60</v>
      </c>
      <c r="J137" t="str">
        <f t="shared" si="8"/>
        <v>high cost</v>
      </c>
      <c r="K137" t="str">
        <f t="shared" si="9"/>
        <v>Middle-aged</v>
      </c>
    </row>
    <row r="138" spans="1:11" x14ac:dyDescent="0.25">
      <c r="A138" t="s">
        <v>163</v>
      </c>
      <c r="B138" t="s">
        <v>15</v>
      </c>
      <c r="C138" t="s">
        <v>28</v>
      </c>
      <c r="D138" t="s">
        <v>17</v>
      </c>
      <c r="E138" t="s">
        <v>29</v>
      </c>
      <c r="F138">
        <v>27</v>
      </c>
      <c r="G138">
        <v>79666.86</v>
      </c>
      <c r="H138">
        <v>16</v>
      </c>
      <c r="I138">
        <v>85</v>
      </c>
      <c r="J138" t="str">
        <f t="shared" si="8"/>
        <v>high cost</v>
      </c>
      <c r="K138" t="str">
        <f t="shared" si="9"/>
        <v>Young Adult</v>
      </c>
    </row>
    <row r="139" spans="1:11" x14ac:dyDescent="0.25">
      <c r="A139" t="s">
        <v>164</v>
      </c>
      <c r="B139" t="s">
        <v>22</v>
      </c>
      <c r="C139" t="s">
        <v>41</v>
      </c>
      <c r="D139" t="s">
        <v>12</v>
      </c>
      <c r="E139" t="s">
        <v>13</v>
      </c>
      <c r="F139">
        <v>65</v>
      </c>
      <c r="G139">
        <v>120956.04</v>
      </c>
      <c r="H139">
        <v>25</v>
      </c>
      <c r="I139">
        <v>95</v>
      </c>
      <c r="J139" t="str">
        <f t="shared" si="8"/>
        <v>high cost</v>
      </c>
      <c r="K139" t="str">
        <f t="shared" si="9"/>
        <v>Senior</v>
      </c>
    </row>
    <row r="140" spans="1:11" x14ac:dyDescent="0.25">
      <c r="A140" t="s">
        <v>165</v>
      </c>
      <c r="B140" t="s">
        <v>10</v>
      </c>
      <c r="C140" t="s">
        <v>28</v>
      </c>
      <c r="D140" t="s">
        <v>26</v>
      </c>
      <c r="E140" t="s">
        <v>18</v>
      </c>
      <c r="F140">
        <v>58</v>
      </c>
      <c r="G140">
        <v>100338.81</v>
      </c>
      <c r="H140">
        <v>7</v>
      </c>
      <c r="I140">
        <v>59</v>
      </c>
      <c r="J140" t="str">
        <f t="shared" si="8"/>
        <v>high cost</v>
      </c>
      <c r="K140" t="str">
        <f t="shared" si="9"/>
        <v>Middle-aged</v>
      </c>
    </row>
    <row r="141" spans="1:11" x14ac:dyDescent="0.25">
      <c r="A141" t="s">
        <v>166</v>
      </c>
      <c r="B141" t="s">
        <v>31</v>
      </c>
      <c r="C141" t="s">
        <v>28</v>
      </c>
      <c r="D141" t="s">
        <v>12</v>
      </c>
      <c r="E141" t="s">
        <v>13</v>
      </c>
      <c r="F141">
        <v>22</v>
      </c>
      <c r="G141">
        <v>120621.62</v>
      </c>
      <c r="H141">
        <v>21</v>
      </c>
      <c r="I141">
        <v>74</v>
      </c>
      <c r="J141" t="str">
        <f t="shared" si="8"/>
        <v>high cost</v>
      </c>
      <c r="K141" t="str">
        <f t="shared" si="9"/>
        <v>Young Adult</v>
      </c>
    </row>
    <row r="142" spans="1:11" x14ac:dyDescent="0.25">
      <c r="A142" t="s">
        <v>167</v>
      </c>
      <c r="B142" t="s">
        <v>10</v>
      </c>
      <c r="C142" t="s">
        <v>28</v>
      </c>
      <c r="D142" t="s">
        <v>23</v>
      </c>
      <c r="E142" t="s">
        <v>18</v>
      </c>
      <c r="F142">
        <v>10</v>
      </c>
      <c r="G142">
        <v>21143.75</v>
      </c>
      <c r="H142">
        <v>2</v>
      </c>
      <c r="I142">
        <v>42</v>
      </c>
      <c r="J142" t="str">
        <f t="shared" si="8"/>
        <v>Low Cost</v>
      </c>
      <c r="K142" t="str">
        <f t="shared" si="9"/>
        <v>Child</v>
      </c>
    </row>
    <row r="143" spans="1:11" x14ac:dyDescent="0.25">
      <c r="A143" t="s">
        <v>168</v>
      </c>
      <c r="B143" t="s">
        <v>31</v>
      </c>
      <c r="C143" t="s">
        <v>28</v>
      </c>
      <c r="D143" t="s">
        <v>32</v>
      </c>
      <c r="E143" t="s">
        <v>29</v>
      </c>
      <c r="F143">
        <v>37</v>
      </c>
      <c r="G143">
        <v>58168.06</v>
      </c>
      <c r="H143">
        <v>3</v>
      </c>
      <c r="I143">
        <v>84</v>
      </c>
      <c r="J143" t="str">
        <f t="shared" si="8"/>
        <v>Low Cost</v>
      </c>
      <c r="K143" t="str">
        <f t="shared" si="9"/>
        <v>Adult</v>
      </c>
    </row>
    <row r="144" spans="1:11" x14ac:dyDescent="0.25">
      <c r="A144" t="s">
        <v>169</v>
      </c>
      <c r="B144" t="s">
        <v>15</v>
      </c>
      <c r="C144" t="s">
        <v>41</v>
      </c>
      <c r="D144" t="s">
        <v>32</v>
      </c>
      <c r="E144" t="s">
        <v>13</v>
      </c>
      <c r="F144">
        <v>57</v>
      </c>
      <c r="G144">
        <v>121600.57</v>
      </c>
      <c r="H144">
        <v>19</v>
      </c>
      <c r="I144">
        <v>94</v>
      </c>
      <c r="J144" t="str">
        <f t="shared" si="8"/>
        <v>high cost</v>
      </c>
      <c r="K144" t="str">
        <f t="shared" si="9"/>
        <v>Middle-aged</v>
      </c>
    </row>
    <row r="145" spans="1:11" x14ac:dyDescent="0.25">
      <c r="A145" t="s">
        <v>170</v>
      </c>
      <c r="B145" t="s">
        <v>25</v>
      </c>
      <c r="C145" t="s">
        <v>16</v>
      </c>
      <c r="D145" t="s">
        <v>26</v>
      </c>
      <c r="E145" t="s">
        <v>18</v>
      </c>
      <c r="F145">
        <v>26</v>
      </c>
      <c r="G145">
        <v>60409.31</v>
      </c>
      <c r="H145">
        <v>25</v>
      </c>
      <c r="I145">
        <v>94</v>
      </c>
      <c r="J145" t="str">
        <f t="shared" si="8"/>
        <v>Low Cost</v>
      </c>
      <c r="K145" t="str">
        <f t="shared" si="9"/>
        <v>Young Adult</v>
      </c>
    </row>
    <row r="146" spans="1:11" x14ac:dyDescent="0.25">
      <c r="A146" t="s">
        <v>171</v>
      </c>
      <c r="B146" t="s">
        <v>10</v>
      </c>
      <c r="C146" t="s">
        <v>16</v>
      </c>
      <c r="D146" t="s">
        <v>23</v>
      </c>
      <c r="E146" t="s">
        <v>18</v>
      </c>
      <c r="F146">
        <v>51</v>
      </c>
      <c r="G146">
        <v>148766.01</v>
      </c>
      <c r="H146">
        <v>21</v>
      </c>
      <c r="I146">
        <v>76</v>
      </c>
      <c r="J146" t="str">
        <f t="shared" si="8"/>
        <v>high cost</v>
      </c>
      <c r="K146" t="str">
        <f t="shared" si="9"/>
        <v>Middle-aged</v>
      </c>
    </row>
    <row r="147" spans="1:11" x14ac:dyDescent="0.25">
      <c r="A147" t="s">
        <v>172</v>
      </c>
      <c r="B147" t="s">
        <v>10</v>
      </c>
      <c r="C147" t="s">
        <v>28</v>
      </c>
      <c r="D147" t="s">
        <v>26</v>
      </c>
      <c r="E147" t="s">
        <v>18</v>
      </c>
      <c r="F147">
        <v>1</v>
      </c>
      <c r="G147">
        <v>46211.03</v>
      </c>
      <c r="H147">
        <v>4</v>
      </c>
      <c r="I147">
        <v>97</v>
      </c>
      <c r="J147" t="str">
        <f t="shared" si="8"/>
        <v>Low Cost</v>
      </c>
      <c r="K147" t="str">
        <f t="shared" si="9"/>
        <v>Infant / Toddler</v>
      </c>
    </row>
    <row r="148" spans="1:11" x14ac:dyDescent="0.25">
      <c r="A148" t="s">
        <v>173</v>
      </c>
      <c r="B148" t="s">
        <v>36</v>
      </c>
      <c r="C148" t="s">
        <v>11</v>
      </c>
      <c r="D148" t="s">
        <v>26</v>
      </c>
      <c r="E148" t="s">
        <v>18</v>
      </c>
      <c r="F148">
        <v>61</v>
      </c>
      <c r="G148">
        <v>32781.94</v>
      </c>
      <c r="H148">
        <v>1</v>
      </c>
      <c r="I148">
        <v>83</v>
      </c>
      <c r="J148" t="str">
        <f t="shared" si="8"/>
        <v>Low Cost</v>
      </c>
      <c r="K148" t="str">
        <f t="shared" si="9"/>
        <v>Senior</v>
      </c>
    </row>
    <row r="149" spans="1:11" x14ac:dyDescent="0.25">
      <c r="A149" t="s">
        <v>174</v>
      </c>
      <c r="B149" t="s">
        <v>36</v>
      </c>
      <c r="C149" t="s">
        <v>16</v>
      </c>
      <c r="D149" t="s">
        <v>17</v>
      </c>
      <c r="E149" t="s">
        <v>29</v>
      </c>
      <c r="F149">
        <v>34</v>
      </c>
      <c r="G149">
        <v>139264.72</v>
      </c>
      <c r="H149">
        <v>14</v>
      </c>
      <c r="I149">
        <v>72</v>
      </c>
      <c r="J149" t="str">
        <f t="shared" si="8"/>
        <v>high cost</v>
      </c>
      <c r="K149" t="str">
        <f t="shared" si="9"/>
        <v>Adult</v>
      </c>
    </row>
    <row r="150" spans="1:11" x14ac:dyDescent="0.25">
      <c r="A150" t="s">
        <v>175</v>
      </c>
      <c r="B150" t="s">
        <v>15</v>
      </c>
      <c r="C150" t="s">
        <v>11</v>
      </c>
      <c r="D150" t="s">
        <v>32</v>
      </c>
      <c r="E150" t="s">
        <v>13</v>
      </c>
      <c r="F150">
        <v>78</v>
      </c>
      <c r="G150">
        <v>15165.98</v>
      </c>
      <c r="H150">
        <v>25</v>
      </c>
      <c r="I150">
        <v>86</v>
      </c>
      <c r="J150" t="str">
        <f t="shared" si="8"/>
        <v>Low Cost</v>
      </c>
      <c r="K150" t="str">
        <f t="shared" si="9"/>
        <v>Elderly</v>
      </c>
    </row>
    <row r="151" spans="1:11" x14ac:dyDescent="0.25">
      <c r="A151" t="s">
        <v>176</v>
      </c>
      <c r="B151" t="s">
        <v>10</v>
      </c>
      <c r="C151" t="s">
        <v>28</v>
      </c>
      <c r="D151" t="s">
        <v>17</v>
      </c>
      <c r="E151" t="s">
        <v>18</v>
      </c>
      <c r="F151">
        <v>73</v>
      </c>
      <c r="G151">
        <v>133910.69</v>
      </c>
      <c r="H151">
        <v>22</v>
      </c>
      <c r="I151">
        <v>87</v>
      </c>
      <c r="J151" t="str">
        <f t="shared" si="8"/>
        <v>high cost</v>
      </c>
      <c r="K151" t="str">
        <f t="shared" si="9"/>
        <v>Senior</v>
      </c>
    </row>
    <row r="152" spans="1:11" x14ac:dyDescent="0.25">
      <c r="A152" t="s">
        <v>177</v>
      </c>
      <c r="B152" t="s">
        <v>25</v>
      </c>
      <c r="C152" t="s">
        <v>28</v>
      </c>
      <c r="D152" t="s">
        <v>12</v>
      </c>
      <c r="E152" t="s">
        <v>18</v>
      </c>
      <c r="F152">
        <v>8</v>
      </c>
      <c r="G152">
        <v>82835.539999999994</v>
      </c>
      <c r="H152">
        <v>24</v>
      </c>
      <c r="I152">
        <v>94</v>
      </c>
      <c r="J152" t="str">
        <f t="shared" si="8"/>
        <v>high cost</v>
      </c>
      <c r="K152" t="str">
        <f t="shared" si="9"/>
        <v>Child</v>
      </c>
    </row>
    <row r="153" spans="1:11" x14ac:dyDescent="0.25">
      <c r="A153" t="s">
        <v>178</v>
      </c>
      <c r="B153" t="s">
        <v>10</v>
      </c>
      <c r="C153" t="s">
        <v>16</v>
      </c>
      <c r="D153" t="s">
        <v>32</v>
      </c>
      <c r="E153" t="s">
        <v>18</v>
      </c>
      <c r="F153">
        <v>16</v>
      </c>
      <c r="G153">
        <v>109945.06</v>
      </c>
      <c r="H153">
        <v>23</v>
      </c>
      <c r="I153">
        <v>76</v>
      </c>
      <c r="J153" t="str">
        <f t="shared" si="8"/>
        <v>high cost</v>
      </c>
      <c r="K153" t="str">
        <f t="shared" si="9"/>
        <v>Teenager</v>
      </c>
    </row>
    <row r="154" spans="1:11" x14ac:dyDescent="0.25">
      <c r="A154" t="s">
        <v>179</v>
      </c>
      <c r="B154" t="s">
        <v>10</v>
      </c>
      <c r="C154" t="s">
        <v>16</v>
      </c>
      <c r="D154" t="s">
        <v>26</v>
      </c>
      <c r="E154" t="s">
        <v>29</v>
      </c>
      <c r="F154">
        <v>3</v>
      </c>
      <c r="G154">
        <v>40894.400000000001</v>
      </c>
      <c r="H154">
        <v>20</v>
      </c>
      <c r="I154">
        <v>46</v>
      </c>
      <c r="J154" t="str">
        <f t="shared" si="8"/>
        <v>Low Cost</v>
      </c>
      <c r="K154" t="str">
        <f t="shared" si="9"/>
        <v>Infant / Toddler</v>
      </c>
    </row>
    <row r="155" spans="1:11" x14ac:dyDescent="0.25">
      <c r="A155" t="s">
        <v>180</v>
      </c>
      <c r="B155" t="s">
        <v>10</v>
      </c>
      <c r="C155" t="s">
        <v>16</v>
      </c>
      <c r="D155" t="s">
        <v>26</v>
      </c>
      <c r="E155" t="s">
        <v>29</v>
      </c>
      <c r="F155">
        <v>28</v>
      </c>
      <c r="G155">
        <v>5522.04</v>
      </c>
      <c r="H155">
        <v>20</v>
      </c>
      <c r="I155">
        <v>95</v>
      </c>
      <c r="J155" t="str">
        <f t="shared" si="8"/>
        <v>Low Cost</v>
      </c>
      <c r="K155" t="str">
        <f t="shared" si="9"/>
        <v>Young Adult</v>
      </c>
    </row>
    <row r="156" spans="1:11" x14ac:dyDescent="0.25">
      <c r="A156" t="s">
        <v>181</v>
      </c>
      <c r="B156" t="s">
        <v>22</v>
      </c>
      <c r="C156" t="s">
        <v>41</v>
      </c>
      <c r="D156" t="s">
        <v>26</v>
      </c>
      <c r="E156" t="s">
        <v>18</v>
      </c>
      <c r="F156">
        <v>38</v>
      </c>
      <c r="G156">
        <v>121567.96</v>
      </c>
      <c r="H156">
        <v>26</v>
      </c>
      <c r="I156">
        <v>65</v>
      </c>
      <c r="J156" t="str">
        <f t="shared" si="8"/>
        <v>high cost</v>
      </c>
      <c r="K156" t="str">
        <f t="shared" si="9"/>
        <v>Adult</v>
      </c>
    </row>
    <row r="157" spans="1:11" x14ac:dyDescent="0.25">
      <c r="A157" t="s">
        <v>182</v>
      </c>
      <c r="B157" t="s">
        <v>10</v>
      </c>
      <c r="C157" t="s">
        <v>41</v>
      </c>
      <c r="D157" t="s">
        <v>32</v>
      </c>
      <c r="E157" t="s">
        <v>13</v>
      </c>
      <c r="F157">
        <v>2</v>
      </c>
      <c r="G157">
        <v>14606.74</v>
      </c>
      <c r="H157">
        <v>30</v>
      </c>
      <c r="I157">
        <v>75</v>
      </c>
      <c r="J157" t="str">
        <f t="shared" si="8"/>
        <v>Low Cost</v>
      </c>
      <c r="K157" t="str">
        <f t="shared" si="9"/>
        <v>Infant / Toddler</v>
      </c>
    </row>
    <row r="158" spans="1:11" x14ac:dyDescent="0.25">
      <c r="A158" t="s">
        <v>183</v>
      </c>
      <c r="B158" t="s">
        <v>15</v>
      </c>
      <c r="C158" t="s">
        <v>28</v>
      </c>
      <c r="D158" t="s">
        <v>23</v>
      </c>
      <c r="E158" t="s">
        <v>18</v>
      </c>
      <c r="F158">
        <v>6</v>
      </c>
      <c r="G158">
        <v>116568.72</v>
      </c>
      <c r="H158">
        <v>24</v>
      </c>
      <c r="I158">
        <v>65</v>
      </c>
      <c r="J158" t="str">
        <f t="shared" si="8"/>
        <v>high cost</v>
      </c>
      <c r="K158" t="str">
        <f t="shared" si="9"/>
        <v>Child</v>
      </c>
    </row>
    <row r="159" spans="1:11" x14ac:dyDescent="0.25">
      <c r="A159" t="s">
        <v>184</v>
      </c>
      <c r="B159" t="s">
        <v>25</v>
      </c>
      <c r="C159" t="s">
        <v>16</v>
      </c>
      <c r="D159" t="s">
        <v>32</v>
      </c>
      <c r="E159" t="s">
        <v>18</v>
      </c>
      <c r="F159">
        <v>33</v>
      </c>
      <c r="G159">
        <v>70189.8</v>
      </c>
      <c r="H159">
        <v>14</v>
      </c>
      <c r="I159">
        <v>88</v>
      </c>
      <c r="J159" t="str">
        <f t="shared" si="8"/>
        <v>Low Cost</v>
      </c>
      <c r="K159" t="str">
        <f t="shared" si="9"/>
        <v>Adult</v>
      </c>
    </row>
    <row r="160" spans="1:11" x14ac:dyDescent="0.25">
      <c r="A160" t="s">
        <v>185</v>
      </c>
      <c r="B160" t="s">
        <v>36</v>
      </c>
      <c r="C160" t="s">
        <v>16</v>
      </c>
      <c r="D160" t="s">
        <v>26</v>
      </c>
      <c r="E160" t="s">
        <v>29</v>
      </c>
      <c r="F160">
        <v>28</v>
      </c>
      <c r="G160">
        <v>136392.39000000001</v>
      </c>
      <c r="H160">
        <v>22</v>
      </c>
      <c r="I160">
        <v>77</v>
      </c>
      <c r="J160" t="str">
        <f t="shared" si="8"/>
        <v>high cost</v>
      </c>
      <c r="K160" t="str">
        <f t="shared" si="9"/>
        <v>Young Adult</v>
      </c>
    </row>
    <row r="161" spans="1:11" x14ac:dyDescent="0.25">
      <c r="A161" t="s">
        <v>186</v>
      </c>
      <c r="B161" t="s">
        <v>36</v>
      </c>
      <c r="C161" t="s">
        <v>41</v>
      </c>
      <c r="D161" t="s">
        <v>26</v>
      </c>
      <c r="E161" t="s">
        <v>29</v>
      </c>
      <c r="F161">
        <v>56</v>
      </c>
      <c r="G161">
        <v>139281.34</v>
      </c>
      <c r="H161">
        <v>24</v>
      </c>
      <c r="I161">
        <v>96</v>
      </c>
      <c r="J161" t="str">
        <f t="shared" si="8"/>
        <v>high cost</v>
      </c>
      <c r="K161" t="str">
        <f t="shared" si="9"/>
        <v>Middle-aged</v>
      </c>
    </row>
    <row r="162" spans="1:11" x14ac:dyDescent="0.25">
      <c r="A162" t="s">
        <v>187</v>
      </c>
      <c r="B162" t="s">
        <v>15</v>
      </c>
      <c r="C162" t="s">
        <v>11</v>
      </c>
      <c r="D162" t="s">
        <v>26</v>
      </c>
      <c r="E162" t="s">
        <v>18</v>
      </c>
      <c r="F162">
        <v>80</v>
      </c>
      <c r="G162">
        <v>140818.37</v>
      </c>
      <c r="H162">
        <v>9</v>
      </c>
      <c r="I162">
        <v>42</v>
      </c>
      <c r="J162" t="str">
        <f t="shared" ref="J162:J193" si="10">IF(G162&gt;75000,"high cost","Low Cost")</f>
        <v>high cost</v>
      </c>
      <c r="K162" t="str">
        <f t="shared" ref="K162:K193" si="11">IF(F162&lt;=5,"Infant / Toddler",
IF(F162&lt;=12,"Child",
IF(F162&lt;=19,"Teenager",
IF(F162&lt;=29,"Young Adult",
IF(F162&lt;=44,"Adult",
IF(F162&lt;=59,"Middle-aged",
IF(F162&lt;=74,"Senior","Elderly")))))))</f>
        <v>Elderly</v>
      </c>
    </row>
    <row r="163" spans="1:11" x14ac:dyDescent="0.25">
      <c r="A163" t="s">
        <v>188</v>
      </c>
      <c r="B163" t="s">
        <v>31</v>
      </c>
      <c r="C163" t="s">
        <v>41</v>
      </c>
      <c r="D163" t="s">
        <v>17</v>
      </c>
      <c r="E163" t="s">
        <v>18</v>
      </c>
      <c r="F163">
        <v>74</v>
      </c>
      <c r="G163">
        <v>56018.43</v>
      </c>
      <c r="H163">
        <v>7</v>
      </c>
      <c r="I163">
        <v>77</v>
      </c>
      <c r="J163" t="str">
        <f t="shared" si="10"/>
        <v>Low Cost</v>
      </c>
      <c r="K163" t="str">
        <f t="shared" si="11"/>
        <v>Senior</v>
      </c>
    </row>
    <row r="164" spans="1:11" x14ac:dyDescent="0.25">
      <c r="A164" t="s">
        <v>189</v>
      </c>
      <c r="B164" t="s">
        <v>22</v>
      </c>
      <c r="C164" t="s">
        <v>41</v>
      </c>
      <c r="D164" t="s">
        <v>32</v>
      </c>
      <c r="E164" t="s">
        <v>29</v>
      </c>
      <c r="F164">
        <v>72</v>
      </c>
      <c r="G164">
        <v>144841.74</v>
      </c>
      <c r="H164">
        <v>5</v>
      </c>
      <c r="I164">
        <v>57</v>
      </c>
      <c r="J164" t="str">
        <f t="shared" si="10"/>
        <v>high cost</v>
      </c>
      <c r="K164" t="str">
        <f t="shared" si="11"/>
        <v>Senior</v>
      </c>
    </row>
    <row r="165" spans="1:11" x14ac:dyDescent="0.25">
      <c r="A165" t="s">
        <v>190</v>
      </c>
      <c r="B165" t="s">
        <v>31</v>
      </c>
      <c r="C165" t="s">
        <v>11</v>
      </c>
      <c r="D165" t="s">
        <v>23</v>
      </c>
      <c r="E165" t="s">
        <v>18</v>
      </c>
      <c r="F165">
        <v>14</v>
      </c>
      <c r="G165">
        <v>123398.79</v>
      </c>
      <c r="H165">
        <v>21</v>
      </c>
      <c r="I165">
        <v>77</v>
      </c>
      <c r="J165" t="str">
        <f t="shared" si="10"/>
        <v>high cost</v>
      </c>
      <c r="K165" t="str">
        <f t="shared" si="11"/>
        <v>Teenager</v>
      </c>
    </row>
    <row r="166" spans="1:11" x14ac:dyDescent="0.25">
      <c r="A166" t="s">
        <v>191</v>
      </c>
      <c r="B166" t="s">
        <v>15</v>
      </c>
      <c r="C166" t="s">
        <v>41</v>
      </c>
      <c r="D166" t="s">
        <v>32</v>
      </c>
      <c r="E166" t="s">
        <v>18</v>
      </c>
      <c r="F166">
        <v>48</v>
      </c>
      <c r="G166">
        <v>10911.55</v>
      </c>
      <c r="H166">
        <v>19</v>
      </c>
      <c r="I166">
        <v>47</v>
      </c>
      <c r="J166" t="str">
        <f t="shared" si="10"/>
        <v>Low Cost</v>
      </c>
      <c r="K166" t="str">
        <f t="shared" si="11"/>
        <v>Middle-aged</v>
      </c>
    </row>
    <row r="167" spans="1:11" x14ac:dyDescent="0.25">
      <c r="A167" t="s">
        <v>192</v>
      </c>
      <c r="B167" t="s">
        <v>36</v>
      </c>
      <c r="C167" t="s">
        <v>16</v>
      </c>
      <c r="D167" t="s">
        <v>32</v>
      </c>
      <c r="E167" t="s">
        <v>13</v>
      </c>
      <c r="F167">
        <v>87</v>
      </c>
      <c r="G167">
        <v>96532.96</v>
      </c>
      <c r="H167">
        <v>7</v>
      </c>
      <c r="I167">
        <v>93</v>
      </c>
      <c r="J167" t="str">
        <f t="shared" si="10"/>
        <v>high cost</v>
      </c>
      <c r="K167" t="str">
        <f t="shared" si="11"/>
        <v>Elderly</v>
      </c>
    </row>
    <row r="168" spans="1:11" x14ac:dyDescent="0.25">
      <c r="A168" t="s">
        <v>193</v>
      </c>
      <c r="B168" t="s">
        <v>15</v>
      </c>
      <c r="C168" t="s">
        <v>41</v>
      </c>
      <c r="D168" t="s">
        <v>32</v>
      </c>
      <c r="E168" t="s">
        <v>29</v>
      </c>
      <c r="F168">
        <v>49</v>
      </c>
      <c r="G168">
        <v>126056.09</v>
      </c>
      <c r="H168">
        <v>11</v>
      </c>
      <c r="I168">
        <v>78</v>
      </c>
      <c r="J168" t="str">
        <f t="shared" si="10"/>
        <v>high cost</v>
      </c>
      <c r="K168" t="str">
        <f t="shared" si="11"/>
        <v>Middle-aged</v>
      </c>
    </row>
    <row r="169" spans="1:11" x14ac:dyDescent="0.25">
      <c r="A169" t="s">
        <v>194</v>
      </c>
      <c r="B169" t="s">
        <v>36</v>
      </c>
      <c r="C169" t="s">
        <v>41</v>
      </c>
      <c r="D169" t="s">
        <v>32</v>
      </c>
      <c r="E169" t="s">
        <v>29</v>
      </c>
      <c r="F169">
        <v>42</v>
      </c>
      <c r="G169">
        <v>92788.13</v>
      </c>
      <c r="H169">
        <v>4</v>
      </c>
      <c r="I169">
        <v>41</v>
      </c>
      <c r="J169" t="str">
        <f t="shared" si="10"/>
        <v>high cost</v>
      </c>
      <c r="K169" t="str">
        <f t="shared" si="11"/>
        <v>Adult</v>
      </c>
    </row>
    <row r="170" spans="1:11" x14ac:dyDescent="0.25">
      <c r="A170" t="s">
        <v>195</v>
      </c>
      <c r="B170" t="s">
        <v>15</v>
      </c>
      <c r="C170" t="s">
        <v>11</v>
      </c>
      <c r="D170" t="s">
        <v>26</v>
      </c>
      <c r="E170" t="s">
        <v>18</v>
      </c>
      <c r="F170">
        <v>36</v>
      </c>
      <c r="G170">
        <v>24614.639999999999</v>
      </c>
      <c r="H170">
        <v>30</v>
      </c>
      <c r="I170">
        <v>57</v>
      </c>
      <c r="J170" t="str">
        <f t="shared" si="10"/>
        <v>Low Cost</v>
      </c>
      <c r="K170" t="str">
        <f t="shared" si="11"/>
        <v>Adult</v>
      </c>
    </row>
    <row r="171" spans="1:11" x14ac:dyDescent="0.25">
      <c r="A171" t="s">
        <v>196</v>
      </c>
      <c r="B171" t="s">
        <v>31</v>
      </c>
      <c r="C171" t="s">
        <v>11</v>
      </c>
      <c r="D171" t="s">
        <v>12</v>
      </c>
      <c r="E171" t="s">
        <v>29</v>
      </c>
      <c r="F171">
        <v>56</v>
      </c>
      <c r="G171">
        <v>36862.400000000001</v>
      </c>
      <c r="H171">
        <v>28</v>
      </c>
      <c r="I171">
        <v>66</v>
      </c>
      <c r="J171" t="str">
        <f t="shared" si="10"/>
        <v>Low Cost</v>
      </c>
      <c r="K171" t="str">
        <f t="shared" si="11"/>
        <v>Middle-aged</v>
      </c>
    </row>
    <row r="172" spans="1:11" x14ac:dyDescent="0.25">
      <c r="A172" t="s">
        <v>197</v>
      </c>
      <c r="B172" t="s">
        <v>10</v>
      </c>
      <c r="C172" t="s">
        <v>16</v>
      </c>
      <c r="D172" t="s">
        <v>12</v>
      </c>
      <c r="E172" t="s">
        <v>18</v>
      </c>
      <c r="F172">
        <v>39</v>
      </c>
      <c r="G172">
        <v>84065.42</v>
      </c>
      <c r="H172">
        <v>28</v>
      </c>
      <c r="I172">
        <v>50</v>
      </c>
      <c r="J172" t="str">
        <f t="shared" si="10"/>
        <v>high cost</v>
      </c>
      <c r="K172" t="str">
        <f t="shared" si="11"/>
        <v>Adult</v>
      </c>
    </row>
    <row r="173" spans="1:11" x14ac:dyDescent="0.25">
      <c r="A173" t="s">
        <v>198</v>
      </c>
      <c r="B173" t="s">
        <v>10</v>
      </c>
      <c r="C173" t="s">
        <v>41</v>
      </c>
      <c r="D173" t="s">
        <v>12</v>
      </c>
      <c r="E173" t="s">
        <v>29</v>
      </c>
      <c r="F173">
        <v>42</v>
      </c>
      <c r="G173">
        <v>83047.11</v>
      </c>
      <c r="H173">
        <v>13</v>
      </c>
      <c r="I173">
        <v>50</v>
      </c>
      <c r="J173" t="str">
        <f t="shared" si="10"/>
        <v>high cost</v>
      </c>
      <c r="K173" t="str">
        <f t="shared" si="11"/>
        <v>Adult</v>
      </c>
    </row>
    <row r="174" spans="1:11" x14ac:dyDescent="0.25">
      <c r="A174" t="s">
        <v>199</v>
      </c>
      <c r="B174" t="s">
        <v>10</v>
      </c>
      <c r="C174" t="s">
        <v>11</v>
      </c>
      <c r="D174" t="s">
        <v>26</v>
      </c>
      <c r="E174" t="s">
        <v>29</v>
      </c>
      <c r="F174">
        <v>59</v>
      </c>
      <c r="G174">
        <v>96326.11</v>
      </c>
      <c r="H174">
        <v>17</v>
      </c>
      <c r="I174">
        <v>82</v>
      </c>
      <c r="J174" t="str">
        <f t="shared" si="10"/>
        <v>high cost</v>
      </c>
      <c r="K174" t="str">
        <f t="shared" si="11"/>
        <v>Middle-aged</v>
      </c>
    </row>
    <row r="175" spans="1:11" x14ac:dyDescent="0.25">
      <c r="A175" t="s">
        <v>200</v>
      </c>
      <c r="B175" t="s">
        <v>36</v>
      </c>
      <c r="C175" t="s">
        <v>41</v>
      </c>
      <c r="D175" t="s">
        <v>12</v>
      </c>
      <c r="E175" t="s">
        <v>18</v>
      </c>
      <c r="F175">
        <v>67</v>
      </c>
      <c r="G175">
        <v>49487.73</v>
      </c>
      <c r="H175">
        <v>27</v>
      </c>
      <c r="I175">
        <v>72</v>
      </c>
      <c r="J175" t="str">
        <f t="shared" si="10"/>
        <v>Low Cost</v>
      </c>
      <c r="K175" t="str">
        <f t="shared" si="11"/>
        <v>Senior</v>
      </c>
    </row>
    <row r="176" spans="1:11" x14ac:dyDescent="0.25">
      <c r="A176" t="s">
        <v>201</v>
      </c>
      <c r="B176" t="s">
        <v>10</v>
      </c>
      <c r="C176" t="s">
        <v>41</v>
      </c>
      <c r="D176" t="s">
        <v>17</v>
      </c>
      <c r="E176" t="s">
        <v>18</v>
      </c>
      <c r="F176">
        <v>11</v>
      </c>
      <c r="G176">
        <v>18263.25</v>
      </c>
      <c r="H176">
        <v>29</v>
      </c>
      <c r="I176">
        <v>83</v>
      </c>
      <c r="J176" t="str">
        <f t="shared" si="10"/>
        <v>Low Cost</v>
      </c>
      <c r="K176" t="str">
        <f t="shared" si="11"/>
        <v>Child</v>
      </c>
    </row>
    <row r="177" spans="1:11" x14ac:dyDescent="0.25">
      <c r="A177" t="s">
        <v>202</v>
      </c>
      <c r="B177" t="s">
        <v>31</v>
      </c>
      <c r="C177" t="s">
        <v>28</v>
      </c>
      <c r="D177" t="s">
        <v>12</v>
      </c>
      <c r="E177" t="s">
        <v>13</v>
      </c>
      <c r="F177">
        <v>3</v>
      </c>
      <c r="G177">
        <v>149013.84</v>
      </c>
      <c r="H177">
        <v>26</v>
      </c>
      <c r="I177">
        <v>93</v>
      </c>
      <c r="J177" t="str">
        <f t="shared" si="10"/>
        <v>high cost</v>
      </c>
      <c r="K177" t="str">
        <f t="shared" si="11"/>
        <v>Infant / Toddler</v>
      </c>
    </row>
    <row r="178" spans="1:11" x14ac:dyDescent="0.25">
      <c r="A178" t="s">
        <v>203</v>
      </c>
      <c r="B178" t="s">
        <v>22</v>
      </c>
      <c r="C178" t="s">
        <v>16</v>
      </c>
      <c r="D178" t="s">
        <v>26</v>
      </c>
      <c r="E178" t="s">
        <v>29</v>
      </c>
      <c r="F178">
        <v>69</v>
      </c>
      <c r="G178">
        <v>46708.35</v>
      </c>
      <c r="H178">
        <v>1</v>
      </c>
      <c r="I178">
        <v>88</v>
      </c>
      <c r="J178" t="str">
        <f t="shared" si="10"/>
        <v>Low Cost</v>
      </c>
      <c r="K178" t="str">
        <f t="shared" si="11"/>
        <v>Senior</v>
      </c>
    </row>
    <row r="179" spans="1:11" x14ac:dyDescent="0.25">
      <c r="A179" t="s">
        <v>204</v>
      </c>
      <c r="B179" t="s">
        <v>25</v>
      </c>
      <c r="C179" t="s">
        <v>11</v>
      </c>
      <c r="D179" t="s">
        <v>17</v>
      </c>
      <c r="E179" t="s">
        <v>18</v>
      </c>
      <c r="F179">
        <v>54</v>
      </c>
      <c r="G179">
        <v>68133.7</v>
      </c>
      <c r="H179">
        <v>9</v>
      </c>
      <c r="I179">
        <v>60</v>
      </c>
      <c r="J179" t="str">
        <f t="shared" si="10"/>
        <v>Low Cost</v>
      </c>
      <c r="K179" t="str">
        <f t="shared" si="11"/>
        <v>Middle-aged</v>
      </c>
    </row>
    <row r="180" spans="1:11" x14ac:dyDescent="0.25">
      <c r="A180" t="s">
        <v>205</v>
      </c>
      <c r="B180" t="s">
        <v>36</v>
      </c>
      <c r="C180" t="s">
        <v>28</v>
      </c>
      <c r="D180" t="s">
        <v>12</v>
      </c>
      <c r="E180" t="s">
        <v>18</v>
      </c>
      <c r="F180">
        <v>82</v>
      </c>
      <c r="G180">
        <v>19213.509999999998</v>
      </c>
      <c r="H180">
        <v>26</v>
      </c>
      <c r="I180">
        <v>96</v>
      </c>
      <c r="J180" t="str">
        <f t="shared" si="10"/>
        <v>Low Cost</v>
      </c>
      <c r="K180" t="str">
        <f t="shared" si="11"/>
        <v>Elderly</v>
      </c>
    </row>
    <row r="181" spans="1:11" x14ac:dyDescent="0.25">
      <c r="A181" t="s">
        <v>206</v>
      </c>
      <c r="B181" t="s">
        <v>25</v>
      </c>
      <c r="C181" t="s">
        <v>41</v>
      </c>
      <c r="D181" t="s">
        <v>26</v>
      </c>
      <c r="E181" t="s">
        <v>18</v>
      </c>
      <c r="F181">
        <v>60</v>
      </c>
      <c r="G181">
        <v>22138.22</v>
      </c>
      <c r="H181">
        <v>3</v>
      </c>
      <c r="I181">
        <v>96</v>
      </c>
      <c r="J181" t="str">
        <f t="shared" si="10"/>
        <v>Low Cost</v>
      </c>
      <c r="K181" t="str">
        <f t="shared" si="11"/>
        <v>Senior</v>
      </c>
    </row>
    <row r="182" spans="1:11" x14ac:dyDescent="0.25">
      <c r="A182" t="s">
        <v>207</v>
      </c>
      <c r="B182" t="s">
        <v>22</v>
      </c>
      <c r="C182" t="s">
        <v>16</v>
      </c>
      <c r="D182" t="s">
        <v>17</v>
      </c>
      <c r="E182" t="s">
        <v>18</v>
      </c>
      <c r="F182">
        <v>65</v>
      </c>
      <c r="G182">
        <v>30460.26</v>
      </c>
      <c r="H182">
        <v>21</v>
      </c>
      <c r="I182">
        <v>63</v>
      </c>
      <c r="J182" t="str">
        <f t="shared" si="10"/>
        <v>Low Cost</v>
      </c>
      <c r="K182" t="str">
        <f t="shared" si="11"/>
        <v>Senior</v>
      </c>
    </row>
    <row r="183" spans="1:11" x14ac:dyDescent="0.25">
      <c r="A183" t="s">
        <v>208</v>
      </c>
      <c r="B183" t="s">
        <v>15</v>
      </c>
      <c r="C183" t="s">
        <v>28</v>
      </c>
      <c r="D183" t="s">
        <v>23</v>
      </c>
      <c r="E183" t="s">
        <v>18</v>
      </c>
      <c r="F183">
        <v>5</v>
      </c>
      <c r="G183">
        <v>52772.62</v>
      </c>
      <c r="H183">
        <v>9</v>
      </c>
      <c r="I183">
        <v>62</v>
      </c>
      <c r="J183" t="str">
        <f t="shared" si="10"/>
        <v>Low Cost</v>
      </c>
      <c r="K183" t="str">
        <f t="shared" si="11"/>
        <v>Infant / Toddler</v>
      </c>
    </row>
    <row r="184" spans="1:11" x14ac:dyDescent="0.25">
      <c r="A184" t="s">
        <v>209</v>
      </c>
      <c r="B184" t="s">
        <v>22</v>
      </c>
      <c r="C184" t="s">
        <v>28</v>
      </c>
      <c r="D184" t="s">
        <v>17</v>
      </c>
      <c r="E184" t="s">
        <v>18</v>
      </c>
      <c r="F184">
        <v>54</v>
      </c>
      <c r="G184">
        <v>118241.71</v>
      </c>
      <c r="H184">
        <v>24</v>
      </c>
      <c r="I184">
        <v>81</v>
      </c>
      <c r="J184" t="str">
        <f t="shared" si="10"/>
        <v>high cost</v>
      </c>
      <c r="K184" t="str">
        <f t="shared" si="11"/>
        <v>Middle-aged</v>
      </c>
    </row>
    <row r="185" spans="1:11" x14ac:dyDescent="0.25">
      <c r="A185" t="s">
        <v>210</v>
      </c>
      <c r="B185" t="s">
        <v>10</v>
      </c>
      <c r="C185" t="s">
        <v>16</v>
      </c>
      <c r="D185" t="s">
        <v>32</v>
      </c>
      <c r="E185" t="s">
        <v>18</v>
      </c>
      <c r="F185">
        <v>64</v>
      </c>
      <c r="G185">
        <v>19477.689999999999</v>
      </c>
      <c r="H185">
        <v>6</v>
      </c>
      <c r="I185">
        <v>65</v>
      </c>
      <c r="J185" t="str">
        <f t="shared" si="10"/>
        <v>Low Cost</v>
      </c>
      <c r="K185" t="str">
        <f t="shared" si="11"/>
        <v>Senior</v>
      </c>
    </row>
    <row r="186" spans="1:11" x14ac:dyDescent="0.25">
      <c r="A186" t="s">
        <v>211</v>
      </c>
      <c r="B186" t="s">
        <v>36</v>
      </c>
      <c r="C186" t="s">
        <v>28</v>
      </c>
      <c r="D186" t="s">
        <v>23</v>
      </c>
      <c r="E186" t="s">
        <v>13</v>
      </c>
      <c r="F186">
        <v>77</v>
      </c>
      <c r="G186">
        <v>114541.22</v>
      </c>
      <c r="H186">
        <v>25</v>
      </c>
      <c r="I186">
        <v>69</v>
      </c>
      <c r="J186" t="str">
        <f t="shared" si="10"/>
        <v>high cost</v>
      </c>
      <c r="K186" t="str">
        <f t="shared" si="11"/>
        <v>Elderly</v>
      </c>
    </row>
    <row r="187" spans="1:11" x14ac:dyDescent="0.25">
      <c r="A187" t="s">
        <v>212</v>
      </c>
      <c r="B187" t="s">
        <v>36</v>
      </c>
      <c r="C187" t="s">
        <v>11</v>
      </c>
      <c r="D187" t="s">
        <v>26</v>
      </c>
      <c r="E187" t="s">
        <v>13</v>
      </c>
      <c r="F187">
        <v>72</v>
      </c>
      <c r="G187">
        <v>56437.97</v>
      </c>
      <c r="H187">
        <v>21</v>
      </c>
      <c r="I187">
        <v>78</v>
      </c>
      <c r="J187" t="str">
        <f t="shared" si="10"/>
        <v>Low Cost</v>
      </c>
      <c r="K187" t="str">
        <f t="shared" si="11"/>
        <v>Senior</v>
      </c>
    </row>
    <row r="188" spans="1:11" x14ac:dyDescent="0.25">
      <c r="A188" t="s">
        <v>213</v>
      </c>
      <c r="B188" t="s">
        <v>31</v>
      </c>
      <c r="C188" t="s">
        <v>16</v>
      </c>
      <c r="D188" t="s">
        <v>17</v>
      </c>
      <c r="E188" t="s">
        <v>18</v>
      </c>
      <c r="F188">
        <v>86</v>
      </c>
      <c r="G188">
        <v>53586.34</v>
      </c>
      <c r="H188">
        <v>22</v>
      </c>
      <c r="I188">
        <v>96</v>
      </c>
      <c r="J188" t="str">
        <f t="shared" si="10"/>
        <v>Low Cost</v>
      </c>
      <c r="K188" t="str">
        <f t="shared" si="11"/>
        <v>Elderly</v>
      </c>
    </row>
    <row r="189" spans="1:11" x14ac:dyDescent="0.25">
      <c r="A189" t="s">
        <v>214</v>
      </c>
      <c r="B189" t="s">
        <v>10</v>
      </c>
      <c r="C189" t="s">
        <v>41</v>
      </c>
      <c r="D189" t="s">
        <v>17</v>
      </c>
      <c r="E189" t="s">
        <v>13</v>
      </c>
      <c r="F189">
        <v>62</v>
      </c>
      <c r="G189">
        <v>13836.03</v>
      </c>
      <c r="H189">
        <v>15</v>
      </c>
      <c r="I189">
        <v>60</v>
      </c>
      <c r="J189" t="str">
        <f t="shared" si="10"/>
        <v>Low Cost</v>
      </c>
      <c r="K189" t="str">
        <f t="shared" si="11"/>
        <v>Senior</v>
      </c>
    </row>
    <row r="190" spans="1:11" x14ac:dyDescent="0.25">
      <c r="A190" t="s">
        <v>215</v>
      </c>
      <c r="B190" t="s">
        <v>15</v>
      </c>
      <c r="C190" t="s">
        <v>28</v>
      </c>
      <c r="D190" t="s">
        <v>23</v>
      </c>
      <c r="E190" t="s">
        <v>18</v>
      </c>
      <c r="F190">
        <v>38</v>
      </c>
      <c r="G190">
        <v>54960.36</v>
      </c>
      <c r="H190">
        <v>26</v>
      </c>
      <c r="I190">
        <v>61</v>
      </c>
      <c r="J190" t="str">
        <f t="shared" si="10"/>
        <v>Low Cost</v>
      </c>
      <c r="K190" t="str">
        <f t="shared" si="11"/>
        <v>Adult</v>
      </c>
    </row>
    <row r="191" spans="1:11" x14ac:dyDescent="0.25">
      <c r="A191" t="s">
        <v>216</v>
      </c>
      <c r="B191" t="s">
        <v>15</v>
      </c>
      <c r="C191" t="s">
        <v>16</v>
      </c>
      <c r="D191" t="s">
        <v>32</v>
      </c>
      <c r="E191" t="s">
        <v>13</v>
      </c>
      <c r="F191">
        <v>70</v>
      </c>
      <c r="G191">
        <v>92629.07</v>
      </c>
      <c r="H191">
        <v>11</v>
      </c>
      <c r="I191">
        <v>96</v>
      </c>
      <c r="J191" t="str">
        <f t="shared" si="10"/>
        <v>high cost</v>
      </c>
      <c r="K191" t="str">
        <f t="shared" si="11"/>
        <v>Senior</v>
      </c>
    </row>
    <row r="192" spans="1:11" x14ac:dyDescent="0.25">
      <c r="A192" t="s">
        <v>217</v>
      </c>
      <c r="B192" t="s">
        <v>25</v>
      </c>
      <c r="C192" t="s">
        <v>41</v>
      </c>
      <c r="D192" t="s">
        <v>32</v>
      </c>
      <c r="E192" t="s">
        <v>29</v>
      </c>
      <c r="F192">
        <v>52</v>
      </c>
      <c r="G192">
        <v>69945.08</v>
      </c>
      <c r="H192">
        <v>8</v>
      </c>
      <c r="I192">
        <v>80</v>
      </c>
      <c r="J192" t="str">
        <f t="shared" si="10"/>
        <v>Low Cost</v>
      </c>
      <c r="K192" t="str">
        <f t="shared" si="11"/>
        <v>Middle-aged</v>
      </c>
    </row>
    <row r="193" spans="1:11" x14ac:dyDescent="0.25">
      <c r="A193" t="s">
        <v>218</v>
      </c>
      <c r="B193" t="s">
        <v>22</v>
      </c>
      <c r="C193" t="s">
        <v>16</v>
      </c>
      <c r="D193" t="s">
        <v>12</v>
      </c>
      <c r="E193" t="s">
        <v>13</v>
      </c>
      <c r="F193">
        <v>62</v>
      </c>
      <c r="G193">
        <v>132120.79</v>
      </c>
      <c r="H193">
        <v>25</v>
      </c>
      <c r="I193">
        <v>81</v>
      </c>
      <c r="J193" t="str">
        <f t="shared" si="10"/>
        <v>high cost</v>
      </c>
      <c r="K193" t="str">
        <f t="shared" si="11"/>
        <v>Senior</v>
      </c>
    </row>
    <row r="194" spans="1:11" x14ac:dyDescent="0.25">
      <c r="A194" t="s">
        <v>219</v>
      </c>
      <c r="B194" t="s">
        <v>22</v>
      </c>
      <c r="C194" t="s">
        <v>16</v>
      </c>
      <c r="D194" t="s">
        <v>26</v>
      </c>
      <c r="E194" t="s">
        <v>18</v>
      </c>
      <c r="F194">
        <v>22</v>
      </c>
      <c r="G194">
        <v>132726.88</v>
      </c>
      <c r="H194">
        <v>24</v>
      </c>
      <c r="I194">
        <v>54</v>
      </c>
      <c r="J194" t="str">
        <f t="shared" ref="J194:J201" si="12">IF(G194&gt;75000,"high cost","Low Cost")</f>
        <v>high cost</v>
      </c>
      <c r="K194" t="str">
        <f t="shared" ref="K194:K200" si="13">IF(F194&lt;=5,"Infant / Toddler",
IF(F194&lt;=12,"Child",
IF(F194&lt;=19,"Teenager",
IF(F194&lt;=29,"Young Adult",
IF(F194&lt;=44,"Adult",
IF(F194&lt;=59,"Middle-aged",
IF(F194&lt;=74,"Senior","Elderly")))))))</f>
        <v>Young Adult</v>
      </c>
    </row>
    <row r="195" spans="1:11" x14ac:dyDescent="0.25">
      <c r="A195" t="s">
        <v>220</v>
      </c>
      <c r="B195" t="s">
        <v>10</v>
      </c>
      <c r="C195" t="s">
        <v>16</v>
      </c>
      <c r="D195" t="s">
        <v>17</v>
      </c>
      <c r="E195" t="s">
        <v>29</v>
      </c>
      <c r="F195">
        <v>70</v>
      </c>
      <c r="G195">
        <v>40806.769999999997</v>
      </c>
      <c r="H195">
        <v>1</v>
      </c>
      <c r="I195">
        <v>51</v>
      </c>
      <c r="J195" t="str">
        <f t="shared" si="12"/>
        <v>Low Cost</v>
      </c>
      <c r="K195" t="str">
        <f t="shared" si="13"/>
        <v>Senior</v>
      </c>
    </row>
    <row r="196" spans="1:11" x14ac:dyDescent="0.25">
      <c r="A196" t="s">
        <v>221</v>
      </c>
      <c r="B196" t="s">
        <v>25</v>
      </c>
      <c r="C196" t="s">
        <v>41</v>
      </c>
      <c r="D196" t="s">
        <v>32</v>
      </c>
      <c r="E196" t="s">
        <v>13</v>
      </c>
      <c r="F196">
        <v>33</v>
      </c>
      <c r="G196">
        <v>56926.38</v>
      </c>
      <c r="H196">
        <v>11</v>
      </c>
      <c r="I196">
        <v>81</v>
      </c>
      <c r="J196" t="str">
        <f t="shared" si="12"/>
        <v>Low Cost</v>
      </c>
      <c r="K196" t="str">
        <f t="shared" si="13"/>
        <v>Adult</v>
      </c>
    </row>
    <row r="197" spans="1:11" x14ac:dyDescent="0.25">
      <c r="A197" t="s">
        <v>222</v>
      </c>
      <c r="B197" t="s">
        <v>22</v>
      </c>
      <c r="C197" t="s">
        <v>16</v>
      </c>
      <c r="D197" t="s">
        <v>32</v>
      </c>
      <c r="E197" t="s">
        <v>29</v>
      </c>
      <c r="F197">
        <v>1</v>
      </c>
      <c r="G197">
        <v>87386.12</v>
      </c>
      <c r="H197">
        <v>14</v>
      </c>
      <c r="I197">
        <v>63</v>
      </c>
      <c r="J197" t="str">
        <f t="shared" si="12"/>
        <v>high cost</v>
      </c>
      <c r="K197" t="str">
        <f t="shared" si="13"/>
        <v>Infant / Toddler</v>
      </c>
    </row>
    <row r="198" spans="1:11" x14ac:dyDescent="0.25">
      <c r="A198" t="s">
        <v>223</v>
      </c>
      <c r="B198" t="s">
        <v>22</v>
      </c>
      <c r="C198" t="s">
        <v>28</v>
      </c>
      <c r="D198" t="s">
        <v>12</v>
      </c>
      <c r="E198" t="s">
        <v>13</v>
      </c>
      <c r="F198">
        <v>8</v>
      </c>
      <c r="G198">
        <v>7805.22</v>
      </c>
      <c r="H198">
        <v>13</v>
      </c>
      <c r="I198">
        <v>91</v>
      </c>
      <c r="J198" t="str">
        <f t="shared" si="12"/>
        <v>Low Cost</v>
      </c>
      <c r="K198" t="str">
        <f t="shared" si="13"/>
        <v>Child</v>
      </c>
    </row>
    <row r="199" spans="1:11" x14ac:dyDescent="0.25">
      <c r="A199" t="s">
        <v>224</v>
      </c>
      <c r="B199" t="s">
        <v>22</v>
      </c>
      <c r="C199" t="s">
        <v>11</v>
      </c>
      <c r="D199" t="s">
        <v>17</v>
      </c>
      <c r="E199" t="s">
        <v>18</v>
      </c>
      <c r="F199">
        <v>90</v>
      </c>
      <c r="G199">
        <v>64936.83</v>
      </c>
      <c r="H199">
        <v>23</v>
      </c>
      <c r="I199">
        <v>51</v>
      </c>
      <c r="J199" t="str">
        <f t="shared" si="12"/>
        <v>Low Cost</v>
      </c>
      <c r="K199" t="str">
        <f t="shared" si="13"/>
        <v>Elderly</v>
      </c>
    </row>
    <row r="200" spans="1:11" x14ac:dyDescent="0.25">
      <c r="A200" t="s">
        <v>225</v>
      </c>
      <c r="B200" t="s">
        <v>36</v>
      </c>
      <c r="C200" t="s">
        <v>41</v>
      </c>
      <c r="D200" t="s">
        <v>32</v>
      </c>
      <c r="E200" t="s">
        <v>13</v>
      </c>
      <c r="F200">
        <v>21</v>
      </c>
      <c r="G200">
        <v>57025.03</v>
      </c>
      <c r="H200">
        <v>18</v>
      </c>
      <c r="I200">
        <v>50</v>
      </c>
      <c r="J200" t="str">
        <f t="shared" si="12"/>
        <v>Low Cost</v>
      </c>
      <c r="K200" t="str">
        <f t="shared" si="13"/>
        <v>Young Adult</v>
      </c>
    </row>
    <row r="201" spans="1:11" x14ac:dyDescent="0.25">
      <c r="A201" t="s">
        <v>226</v>
      </c>
      <c r="B201" t="s">
        <v>36</v>
      </c>
      <c r="C201" t="s">
        <v>41</v>
      </c>
      <c r="D201" t="s">
        <v>23</v>
      </c>
      <c r="E201" t="s">
        <v>13</v>
      </c>
      <c r="F201">
        <v>39</v>
      </c>
      <c r="G201">
        <v>145631.91</v>
      </c>
      <c r="H201">
        <v>6</v>
      </c>
      <c r="I201">
        <v>49</v>
      </c>
      <c r="J201" t="str">
        <f t="shared" si="12"/>
        <v>high cost</v>
      </c>
      <c r="K201" t="str">
        <f>IF(F201&lt;=5,"Infant / Toddler",
IF(F201&lt;=12,"Child",
IF(F201&lt;=19,"Teenager",
IF(F201&lt;=29,"Young Adult",
IF(F201&lt;=44,"Adult",
IF(F201&lt;=59,"Middle-aged",
IF(F201&lt;=74,"Senior","Elderly")))))))</f>
        <v>Adult</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Detail1</vt:lpstr>
      <vt:lpstr>Detail2</vt:lpstr>
      <vt:lpstr>Detail3</vt:lpstr>
      <vt:lpstr>pivot_table</vt:lpstr>
      <vt:lpstr>dashboard</vt:lpstr>
      <vt:lpstr>hospital_patient_treatment_data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 Pavithra</cp:lastModifiedBy>
  <dcterms:created xsi:type="dcterms:W3CDTF">2026-04-24T20:01:19Z</dcterms:created>
  <dcterms:modified xsi:type="dcterms:W3CDTF">2026-08-16T07:11:46Z</dcterms:modified>
</cp:coreProperties>
</file>